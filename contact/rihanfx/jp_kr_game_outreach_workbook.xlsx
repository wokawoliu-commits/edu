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1a1c063048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Summary" sheetId="1" r:id="Rf9a7b6f584844f8c"/>
    <x:sheet xmlns:r="http://schemas.openxmlformats.org/officeDocument/2006/relationships" name="Longlist_80" sheetId="2" r:id="Rbfb1ddcc39f348d4"/>
    <x:sheet xmlns:r="http://schemas.openxmlformats.org/officeDocument/2006/relationships" name="Top20_Playbook" sheetId="3" r:id="R84de2f567e2d4678"/>
    <x:sheet xmlns:r="http://schemas.openxmlformats.org/officeDocument/2006/relationships" name="Scoring_Model" sheetId="4" r:id="R5aed2853f0d14c70"/>
    <x:sheet xmlns:r="http://schemas.openxmlformats.org/officeDocument/2006/relationships" name="Outreach_Pipeline" sheetId="5" r:id="R3b55977dd4d64d31"/>
    <x:sheet xmlns:r="http://schemas.openxmlformats.org/officeDocument/2006/relationships" name="Templates" sheetId="6" r:id="R2f03064fce614fe7"/>
    <x:sheet xmlns:r="http://schemas.openxmlformats.org/officeDocument/2006/relationships" name="Source_Registry" sheetId="7" r:id="Refdc45e2e79847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4E79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274E13"/>
      </x:patternFill>
    </x:fill>
    <x:fill>
      <x:patternFill patternType="solid">
        <x:fgColor rgb="FF7F6000"/>
      </x:patternFill>
    </x:fill>
    <x:fill>
      <x:patternFill patternType="solid">
        <x:fgColor rgb="FF5B9BD5"/>
      </x:patternFill>
    </x:fill>
    <x:fill>
      <x:patternFill patternType="solid">
        <x:fgColor rgb="FF7030A0"/>
      </x:patternFill>
    </x:fill>
    <x:fill>
      <x:patternFill patternType="solid">
        <x:fgColor rgb="FF404040"/>
      </x:patternFill>
    </x:fill>
    <x:fill>
      <x:patternFill patternType="solid">
        <x:fgColor rgb="FFD9E2F3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ADCF8"/>
      </x:left>
      <x:right style="thin">
        <x:color rgb="FFEADCF8"/>
      </x:right>
      <x:top style="thin">
        <x:color rgb="FFEADCF8"/>
      </x:top>
      <x:bottom style="thin">
        <x:color rgb="FFEADCF8"/>
      </x:bottom>
    </x:border>
    <x:border>
      <x:left style="thin">
        <x:color rgb="FFD9EAD3"/>
      </x:left>
      <x:right style="thin">
        <x:color rgb="FFD9EAD3"/>
      </x:right>
      <x:top style="thin">
        <x:color rgb="FFD9EAD3"/>
      </x:top>
      <x:bottom style="thin">
        <x:color rgb="FFD9EAD3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0" fillId="9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89a70d8624242" /><Relationship Type="http://schemas.openxmlformats.org/officeDocument/2006/relationships/theme" Target="/xl/theme/theme1.xml" Id="R608c475d134a4dde" /><Relationship Type="http://schemas.openxmlformats.org/officeDocument/2006/relationships/sharedStrings" Target="/xl/sharedStrings.xml" Id="R92ae09400da74946" /><Relationship Type="http://schemas.openxmlformats.org/officeDocument/2006/relationships/worksheet" Target="/xl/worksheets/sheet1.xml" Id="Rf9a7b6f584844f8c" /><Relationship Type="http://schemas.openxmlformats.org/officeDocument/2006/relationships/worksheet" Target="/xl/worksheets/sheet2.xml" Id="Rbfb1ddcc39f348d4" /><Relationship Type="http://schemas.openxmlformats.org/officeDocument/2006/relationships/worksheet" Target="/xl/worksheets/sheet3.xml" Id="R84de2f567e2d4678" /><Relationship Type="http://schemas.openxmlformats.org/officeDocument/2006/relationships/worksheet" Target="/xl/worksheets/sheet4.xml" Id="R5aed2853f0d14c70" /><Relationship Type="http://schemas.openxmlformats.org/officeDocument/2006/relationships/worksheet" Target="/xl/worksheets/sheet5.xml" Id="R3b55977dd4d64d31" /><Relationship Type="http://schemas.openxmlformats.org/officeDocument/2006/relationships/worksheet" Target="/xl/worksheets/sheet6.xml" Id="R2f03064fce614fe7" /><Relationship Type="http://schemas.openxmlformats.org/officeDocument/2006/relationships/worksheet" Target="/xl/worksheets/sheet7.xml" Id="Refdc45e2e79847cd" /></Relationships>
</file>

<file path=xl/tables/table1.xml><?xml version="1.0" encoding="utf-8"?>
<x:table xmlns:x="http://schemas.openxmlformats.org/spreadsheetml/2006/main" id="1" name="LonglistTable" displayName="LonglistTable" ref="A1:AI81" headerRowCount="1">
  <x:tableColumns count="35">
    <x:tableColumn id="1" name="ID"/>
    <x:tableColumn id="2" name="Tier"/>
    <x:tableColumn id="3" name="Priority Rank"/>
    <x:tableColumn id="4" name="Company"/>
    <x:tableColumn id="5" name="Country"/>
    <x:tableColumn id="6" name="HQ"/>
    <x:tableColumn id="7" name="Website"/>
    <x:tableColumn id="8" name="Entity Type"/>
    <x:tableColumn id="9" name="Key Games / Publishing Cases"/>
    <x:tableColumn id="10" name="Strategic Fit (30)"/>
    <x:tableColumn id="11" name="Investment/M&amp;A Signal (25)"/>
    <x:tableColumn id="12" name="Casual/Relevance (20)"/>
    <x:tableColumn id="13" name="Funds/Publishing (15)"/>
    <x:tableColumn id="14" name="Reachability (10)"/>
    <x:tableColumn id="15" name="Total Score"/>
    <x:tableColumn id="16" name="Possible Deal Types"/>
    <x:tableColumn id="17" name="Best Entry / Department"/>
    <x:tableColumn id="18" name="Public Contact / Entrance"/>
    <x:tableColumn id="19" name="Contact URL"/>
    <x:tableColumn id="20" name="Recommended Angle"/>
    <x:tableColumn id="21" name="Evidence Note"/>
    <x:tableColumn id="22" name="Source 1"/>
    <x:tableColumn id="23" name="Source 2"/>
    <x:tableColumn id="24" name="Source 3"/>
    <x:tableColumn id="25" name="Source Count"/>
    <x:tableColumn id="26" name="Confidence"/>
    <x:tableColumn id="27" name="Next Step"/>
    <x:tableColumn id="28" name="Outreach Status"/>
    <x:tableColumn id="29" name="Last Verified"/>
    <x:tableColumn id="30" name="Owner"/>
    <x:tableColumn id="31" name="Notes"/>
    <x:tableColumn id="32" name="Company Scale"/>
    <x:tableColumn id="33" name="Representative Works"/>
    <x:tableColumn id="34" name="Public Contact Email"/>
    <x:tableColumn id="35" name="Email Note"/>
  </x:tableColumns>
  <x:tableStyleInfo name="TableStyleMedium2" showRowStripes="1"/>
</x:table>
</file>

<file path=xl/tables/table2.xml><?xml version="1.0" encoding="utf-8"?>
<x:table xmlns:x="http://schemas.openxmlformats.org/spreadsheetml/2006/main" id="2" name="Top20Table" displayName="Top20Table" ref="A1:O21" headerRowCount="1">
  <x:tableColumns count="15">
    <x:tableColumn id="1" name="Rank"/>
    <x:tableColumn id="2" name="Company"/>
    <x:tableColumn id="3" name="Country"/>
    <x:tableColumn id="4" name="Total Score"/>
    <x:tableColumn id="5" name="Company Scale"/>
    <x:tableColumn id="6" name="Representative Works"/>
    <x:tableColumn id="7" name="Public Contact Email"/>
    <x:tableColumn id="8" name="Email Note"/>
    <x:tableColumn id="9" name="Why They May Care"/>
    <x:tableColumn id="10" name="Best Deal Ask"/>
    <x:tableColumn id="11" name="Suggested Entry"/>
    <x:tableColumn id="12" name="Contact URL"/>
    <x:tableColumn id="13" name="Opening Angle"/>
    <x:tableColumn id="14" name="Watchouts"/>
    <x:tableColumn id="15" name="Evidence Sources"/>
  </x:tableColumns>
  <x:tableStyleInfo name="TableStyleMedium4" showRowStripes="1"/>
</x:table>
</file>

<file path=xl/tables/table3.xml><?xml version="1.0" encoding="utf-8"?>
<x:table xmlns:x="http://schemas.openxmlformats.org/spreadsheetml/2006/main" id="3" name="PipelineTable" displayName="PipelineTable" ref="A1:M31" headerRowCount="1">
  <x:tableColumns count="13">
    <x:tableColumn id="1" name="Priority"/>
    <x:tableColumn id="2" name="Company"/>
    <x:tableColumn id="3" name="Country"/>
    <x:tableColumn id="4" name="Tier"/>
    <x:tableColumn id="5" name="Recommended First Action"/>
    <x:tableColumn id="6" name="Owner"/>
    <x:tableColumn id="7" name="Status"/>
    <x:tableColumn id="8" name="First Sent"/>
    <x:tableColumn id="9" name="Follow-up 1"/>
    <x:tableColumn id="10" name="Follow-up 2"/>
    <x:tableColumn id="11" name="Follow-up 3"/>
    <x:tableColumn id="12" name="Reply Notes"/>
    <x:tableColumn id="13" name="Next Action"/>
  </x:tableColumns>
  <x:tableStyleInfo name="TableStyleMedium9" showRowStripes="1"/>
</x:table>
</file>

<file path=xl/tables/table4.xml><?xml version="1.0" encoding="utf-8"?>
<x:table xmlns:x="http://schemas.openxmlformats.org/spreadsheetml/2006/main" id="4" name="TemplatesTable" displayName="TemplatesTable" ref="A1:E9" headerRowCount="1">
  <x:tableColumns count="5">
    <x:tableColumn id="1" name="Template"/>
    <x:tableColumn id="2" name="Language"/>
    <x:tableColumn id="3" name="Use Case"/>
    <x:tableColumn id="4" name="Subject / Hook"/>
    <x:tableColumn id="5" name="Body"/>
  </x:tableColumns>
  <x:tableStyleInfo name="TableStyleMedium5" showRowStripes="1"/>
</x:table>
</file>

<file path=xl/tables/table5.xml><?xml version="1.0" encoding="utf-8"?>
<x:table xmlns:x="http://schemas.openxmlformats.org/spreadsheetml/2006/main" id="5" name="SourceTable" displayName="SourceTable" ref="A1:D241" headerRowCount="1">
  <x:tableColumns count="4">
    <x:tableColumn id="1" name="Source ID"/>
    <x:tableColumn id="2" name="Company"/>
    <x:tableColumn id="3" name="Source Role"/>
    <x:tableColumn id="4" name="URL"/>
  </x:tableColumns>
  <x:tableStyleInfo name="TableStyleMedium3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48c88ff1f444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13d74db6cd4b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b36f010631d49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1f018ae6f9b45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1d4ff15ff764e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68.88999938964844" hidden="0" customWidth="1"/>
    <x:col min="3" max="3" width="3.3299999237060547" hidden="0" customWidth="1"/>
    <x:col min="4" max="4" width="3.3299999237060547" hidden="0" customWidth="1"/>
    <x:col min="5" max="5" width="3.3299999237060547" hidden="0" customWidth="1"/>
    <x:col min="6" max="6" width="7.78000020980835" hidden="0" customWidth="1"/>
    <x:col min="7" max="7" width="7.78000020980835" hidden="0" customWidth="1"/>
    <x:col min="8" max="8" width="7.78000020980835" hidden="0" customWidth="1"/>
    <x:col min="9" max="9" width="7.78000020980835" hidden="0" customWidth="1"/>
  </x:cols>
  <x:sheetData>
    <x:row r="1">
      <x:c r="A1" s="24" t="str">
        <x:v>日韩游戏发行/投资买方外联工作包</x:v>
      </x:c>
      <x:c r="B1" s="4" t="str"/>
      <x:c r="C1" s="4" t="str"/>
      <x:c r="D1" s="4" t="str"/>
      <x:c r="E1" s="4" t="str"/>
      <x:c r="F1" s="27" t="str">
        <x:v>Tier</x:v>
      </x:c>
      <x:c r="G1" s="27" t="str">
        <x:v>Japan</x:v>
      </x:c>
      <x:c r="H1" s="27" t="str">
        <x:v>Korea</x:v>
      </x:c>
      <x:c r="I1" s="27" t="str">
        <x:v>Total</x:v>
      </x:c>
    </x:row>
    <x:row r="2">
      <x:c r="A2" s="29" t="str">
        <x:v>Package date</x:v>
      </x:c>
      <x:c r="B2" s="7" t="str">
        <x:v>2026-06-02</x:v>
      </x:c>
      <x:c r="C2" s="4" t="str"/>
      <x:c r="D2" s="4" t="str"/>
      <x:c r="E2" s="4" t="str"/>
      <x:c r="F2" s="30" t="str">
        <x:v>A</x:v>
      </x:c>
      <x:c r="G2" s="30" t="n">
        <x:v>10</x:v>
      </x:c>
      <x:c r="H2" s="30" t="n">
        <x:v>10</x:v>
      </x:c>
      <x:c r="I2" s="30" t="n">
        <x:v>20</x:v>
      </x:c>
    </x:row>
    <x:row r="3">
      <x:c r="A3" s="29" t="str">
        <x:v>Total companies</x:v>
      </x:c>
      <x:c r="B3" s="7" t="n">
        <x:v>80</x:v>
      </x:c>
      <x:c r="C3" s="4" t="str"/>
      <x:c r="D3" s="4" t="str"/>
      <x:c r="E3" s="4" t="str"/>
      <x:c r="F3" s="30" t="str">
        <x:v>B</x:v>
      </x:c>
      <x:c r="G3" s="30" t="n">
        <x:v>24</x:v>
      </x:c>
      <x:c r="H3" s="30" t="n">
        <x:v>16</x:v>
      </x:c>
      <x:c r="I3" s="30" t="n">
        <x:v>40</x:v>
      </x:c>
    </x:row>
    <x:row r="4">
      <x:c r="A4" s="29" t="str">
        <x:v>Japan companies</x:v>
      </x:c>
      <x:c r="B4" s="7" t="n">
        <x:v>40</x:v>
      </x:c>
      <x:c r="C4" s="4" t="str"/>
      <x:c r="D4" s="4" t="str"/>
      <x:c r="E4" s="4" t="str"/>
      <x:c r="F4" s="30" t="str">
        <x:v>C</x:v>
      </x:c>
      <x:c r="G4" s="30" t="n">
        <x:v>6</x:v>
      </x:c>
      <x:c r="H4" s="30" t="n">
        <x:v>14</x:v>
      </x:c>
      <x:c r="I4" s="30" t="n">
        <x:v>20</x:v>
      </x:c>
    </x:row>
    <x:row r="5">
      <x:c r="A5" s="29" t="str">
        <x:v>Korea companies</x:v>
      </x:c>
      <x:c r="B5" s="7" t="n">
        <x:v>40</x:v>
      </x:c>
      <x:c r="C5" s="4" t="str"/>
      <x:c r="D5" s="4" t="str"/>
      <x:c r="E5" s="4" t="str"/>
      <x:c r="F5" s="30" t="str">
        <x:v>Total</x:v>
      </x:c>
      <x:c r="G5" s="30" t="n">
        <x:v>40</x:v>
      </x:c>
      <x:c r="H5" s="30" t="n">
        <x:v>40</x:v>
      </x:c>
      <x:c r="I5" s="30" t="n">
        <x:v>80</x:v>
      </x:c>
    </x:row>
    <x:row r="6">
      <x:c r="A6" s="29" t="str">
        <x:v>Top 20 purpose</x:v>
      </x:c>
      <x:c r="B6" s="7" t="str">
        <x:v>Prioritize investment/acquisition signals while keeping publishing/MG optional.</x:v>
      </x:c>
      <x:c r="C6" s="4" t="str"/>
      <x:c r="D6" s="4" t="str"/>
      <x:c r="E6" s="4" t="str"/>
      <x:c r="F6" s="4" t="str"/>
      <x:c r="G6" s="4" t="str"/>
      <x:c r="H6" s="4" t="str"/>
      <x:c r="I6" s="4" t="str"/>
    </x:row>
    <x:row r="7">
      <x:c r="A7" s="29" t="str">
        <x:v>Positioning</x:v>
      </x:c>
      <x:c r="B7" s="7" t="str">
        <x:v>Real-name outreach for a Family Island-like mobile casual adventure/simulation game with positive US CPI and retention test signals.</x:v>
      </x:c>
      <x:c r="C7" s="4" t="str"/>
      <x:c r="D7" s="4" t="str"/>
      <x:c r="E7" s="4" t="str"/>
      <x:c r="F7" s="4" t="str"/>
      <x:c r="G7" s="4" t="str"/>
      <x:c r="H7" s="4" t="str"/>
      <x:c r="I7" s="4" t="str"/>
    </x:row>
    <x:row r="8">
      <x:c r="A8" s="29" t="str">
        <x:v>Disclosure default</x:v>
      </x:c>
      <x:c r="B8" s="7" t="str">
        <x:v>Share company/game name in first touch; keep raw cohorts, financials, build access and cap table for interested parties/NDA.</x:v>
      </x:c>
      <x:c r="C8" s="4" t="str"/>
      <x:c r="D8" s="4" t="str"/>
      <x:c r="E8" s="4" t="str"/>
      <x:c r="F8" s="4" t="str"/>
      <x:c r="G8" s="4" t="str"/>
      <x:c r="H8" s="4" t="str"/>
      <x:c r="I8" s="4" t="str"/>
    </x:row>
    <x:row r="9">
      <x:c r="A9" s="29" t="str">
        <x:v>First-wave action</x:v>
      </x:c>
      <x:c r="B9" s="7" t="str">
        <x:v>Tailor and send A-tier emails; record responses in Outreach_Pipeline; use B-tier after learning from first 10 replies.</x:v>
      </x:c>
      <x:c r="C9" s="4" t="str"/>
      <x:c r="D9" s="4" t="str"/>
      <x:c r="E9" s="4" t="str"/>
      <x:c r="F9" s="4" t="str"/>
      <x:c r="G9" s="4" t="str"/>
      <x:c r="H9" s="4" t="str"/>
      <x:c r="I9" s="4" t="str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9999866485596" hidden="0" customWidth="1"/>
    <x:col min="2" max="2" width="6.440000057220459" hidden="0" customWidth="1"/>
    <x:col min="3" max="3" width="8.220000267028809" hidden="0" customWidth="1"/>
    <x:col min="4" max="4" width="21.110000610351562" hidden="0" customWidth="1"/>
    <x:col min="5" max="5" width="8" hidden="0" customWidth="1"/>
    <x:col min="6" max="6" width="15.5600004196167" hidden="0" customWidth="1"/>
    <x:col min="7" max="7" width="23.329999923706055" hidden="0" customWidth="1"/>
    <x:col min="8" max="8" width="23.329999923706055" hidden="0" customWidth="1"/>
    <x:col min="9" max="9" width="33.33000183105469" hidden="0" customWidth="1"/>
    <x:col min="10" max="10" width="9.5600004196167" hidden="0" customWidth="1"/>
    <x:col min="11" max="11" width="10.670000076293945" hidden="0" customWidth="1"/>
    <x:col min="12" max="12" width="10.4399995803833" hidden="0" customWidth="1"/>
    <x:col min="13" max="13" width="10.670000076293945" hidden="0" customWidth="1"/>
    <x:col min="14" max="14" width="9.5600004196167" hidden="0" customWidth="1"/>
    <x:col min="15" max="15" width="8.890000343322754" hidden="0" customWidth="1"/>
    <x:col min="16" max="16" width="27.780000686645508" hidden="0" customWidth="1"/>
    <x:col min="17" max="17" width="24.440000534057617" hidden="0" customWidth="1"/>
    <x:col min="18" max="18" width="25.559999465942383" hidden="0" customWidth="1"/>
    <x:col min="19" max="19" width="23.329999923706055" hidden="0" customWidth="1"/>
    <x:col min="20" max="20" width="35.560001373291016" hidden="0" customWidth="1"/>
    <x:col min="21" max="21" width="37.779998779296875" hidden="0" customWidth="1"/>
    <x:col min="22" max="22" width="28.889999389648438" hidden="0" customWidth="1"/>
    <x:col min="23" max="23" width="28.889999389648438" hidden="0" customWidth="1"/>
    <x:col min="24" max="24" width="28.889999389648438" hidden="0" customWidth="1"/>
    <x:col min="25" max="25" width="10" hidden="0" customWidth="1"/>
    <x:col min="26" max="26" width="10.220000267028809" hidden="0" customWidth="1"/>
    <x:col min="27" max="27" width="33.33000183105469" hidden="0" customWidth="1"/>
    <x:col min="28" max="28" width="12.220000267028809" hidden="0" customWidth="1"/>
    <x:col min="29" max="29" width="11.109999656677246" hidden="0" customWidth="1"/>
    <x:col min="30" max="30" width="11.109999656677246" hidden="0" customWidth="1"/>
    <x:col min="31" max="31" width="20" hidden="0" customWidth="1"/>
    <x:col min="32" max="32" width="36.66999816894531" hidden="0" customWidth="1"/>
    <x:col min="33" max="33" width="36.66999816894531" hidden="0" customWidth="1"/>
    <x:col min="34" max="34" width="26.670000076293945" hidden="0" customWidth="1"/>
    <x:col min="35" max="35" width="37.779998779296875" hidden="0" customWidth="1"/>
  </x:cols>
  <x:sheetData>
    <x:row r="1">
      <x:c r="A1" s="6" t="str">
        <x:v>ID</x:v>
      </x:c>
      <x:c r="B1" s="6" t="str">
        <x:v>Tier</x:v>
      </x:c>
      <x:c r="C1" s="6" t="str">
        <x:v>Priority Rank</x:v>
      </x:c>
      <x:c r="D1" s="6" t="str">
        <x:v>Company</x:v>
      </x:c>
      <x:c r="E1" s="6" t="str">
        <x:v>Country</x:v>
      </x:c>
      <x:c r="F1" s="6" t="str">
        <x:v>HQ</x:v>
      </x:c>
      <x:c r="G1" s="6" t="str">
        <x:v>Website</x:v>
      </x:c>
      <x:c r="H1" s="6" t="str">
        <x:v>Entity Type</x:v>
      </x:c>
      <x:c r="I1" s="6" t="str">
        <x:v>Key Games / Publishing Cases</x:v>
      </x:c>
      <x:c r="J1" s="6" t="str">
        <x:v>Strategic Fit (30)</x:v>
      </x:c>
      <x:c r="K1" s="6" t="str">
        <x:v>Investment/M&amp;A Signal (25)</x:v>
      </x:c>
      <x:c r="L1" s="6" t="str">
        <x:v>Casual/Relevance (20)</x:v>
      </x:c>
      <x:c r="M1" s="6" t="str">
        <x:v>Funds/Publishing (15)</x:v>
      </x:c>
      <x:c r="N1" s="6" t="str">
        <x:v>Reachability (10)</x:v>
      </x:c>
      <x:c r="O1" s="6" t="str">
        <x:v>Total Score</x:v>
      </x:c>
      <x:c r="P1" s="6" t="str">
        <x:v>Possible Deal Types</x:v>
      </x:c>
      <x:c r="Q1" s="6" t="str">
        <x:v>Best Entry / Department</x:v>
      </x:c>
      <x:c r="R1" s="6" t="str">
        <x:v>Public Contact / Entrance</x:v>
      </x:c>
      <x:c r="S1" s="6" t="str">
        <x:v>Contact URL</x:v>
      </x:c>
      <x:c r="T1" s="6" t="str">
        <x:v>Recommended Angle</x:v>
      </x:c>
      <x:c r="U1" s="6" t="str">
        <x:v>Evidence Note</x:v>
      </x:c>
      <x:c r="V1" s="6" t="str">
        <x:v>Source 1</x:v>
      </x:c>
      <x:c r="W1" s="6" t="str">
        <x:v>Source 2</x:v>
      </x:c>
      <x:c r="X1" s="6" t="str">
        <x:v>Source 3</x:v>
      </x:c>
      <x:c r="Y1" s="6" t="str">
        <x:v>Source Count</x:v>
      </x:c>
      <x:c r="Z1" s="6" t="str">
        <x:v>Confidence</x:v>
      </x:c>
      <x:c r="AA1" s="6" t="str">
        <x:v>Next Step</x:v>
      </x:c>
      <x:c r="AB1" s="6" t="str">
        <x:v>Outreach Status</x:v>
      </x:c>
      <x:c r="AC1" s="6" t="str">
        <x:v>Last Verified</x:v>
      </x:c>
      <x:c r="AD1" s="6" t="str">
        <x:v>Owner</x:v>
      </x:c>
      <x:c r="AE1" s="6" t="str">
        <x:v>Notes</x:v>
      </x:c>
      <x:c r="AF1" s="6" t="str">
        <x:v>Company Scale</x:v>
      </x:c>
      <x:c r="AG1" s="6" t="str">
        <x:v>Representative Works</x:v>
      </x:c>
      <x:c r="AH1" s="6" t="str">
        <x:v>Public Contact Email</x:v>
      </x:c>
      <x:c r="AI1" s="6" t="str">
        <x:v>Email Note</x:v>
      </x:c>
    </x:row>
    <x:row r="2">
      <x:c r="A2" s="7" t="str">
        <x:v>KR-001</x:v>
      </x:c>
      <x:c r="B2" s="7" t="str">
        <x:v>A</x:v>
      </x:c>
      <x:c r="C2" s="7" t="n">
        <x:v>1</x:v>
      </x:c>
      <x:c r="D2" s="7" t="str">
        <x:v>NCSOFT / NC</x:v>
      </x:c>
      <x:c r="E2" s="7" t="str">
        <x:v>Korea</x:v>
      </x:c>
      <x:c r="F2" s="7" t="str">
        <x:v>Seongnam, Korea</x:v>
      </x:c>
      <x:c r="G2" s="7" t="str">
        <x:v>https://about.ncsoft.com/en</x:v>
      </x:c>
      <x:c r="H2" s="7" t="str">
        <x:v>Public publisher/developer; active strategic buyer</x:v>
      </x:c>
      <x:c r="I2" s="7" t="str">
        <x:v>Lineage, AION, Guild Wars 2; 2026 mobile casual center; acquisitions of Lihuhu/Springcomes/JustPlay disclosed</x:v>
      </x:c>
      <x:c r="J2" s="8" t="n">
        <x:v>30</x:v>
      </x:c>
      <x:c r="K2" s="8" t="n">
        <x:v>25</x:v>
      </x:c>
      <x:c r="L2" s="8" t="n">
        <x:v>20</x:v>
      </x:c>
      <x:c r="M2" s="8" t="n">
        <x:v>15</x:v>
      </x:c>
      <x:c r="N2" s="8" t="n">
        <x:v>8</x:v>
      </x:c>
      <x:c r="O2" s="8" t="n">
        <x:f>SUM(J2:N2)</x:f>
        <x:v>98</x:v>
      </x:c>
      <x:c r="P2" s="7" t="str">
        <x:v>Acquisition; strategic investment; publishing partnership</x:v>
      </x:c>
      <x:c r="Q2" s="7" t="str">
        <x:v>Mobile Casual Center; Corporate Strategy; Corp Dev</x:v>
      </x:c>
      <x:c r="R2" s="7" t="str">
        <x:v>Official contact, LinkedIn corporate page, warm intro to Mobile Casual Center</x:v>
      </x:c>
      <x:c r="S2" s="7" t="str">
        <x:v>https://about.ncsoft.com/en</x:v>
      </x:c>
      <x:c r="T2" s="7" t="str">
        <x:v>Lead with verified US CPI/retention and Family Island-like casual adventure fit for their mobile casual ecosystem.</x:v>
      </x:c>
      <x:c r="U2" s="7" t="str">
        <x:v>2026 strategy explicitly names mobile casual as growth pillar and says additional acquisitions/publishing partnerships will expand ecosystem.</x:v>
      </x:c>
      <x:c r="V2" s="7" t="str">
        <x:v>https://about.ncsoft.com/en/news/article/news_update_260312</x:v>
      </x:c>
      <x:c r="W2" s="7" t="str">
        <x:v>https://about.ncsoft.com/en/news/article/news_update_251222</x:v>
      </x:c>
      <x:c r="X2" s="7" t="str">
        <x:v>https://about.ncsoft.com/en/news/article/news_update_260311</x:v>
      </x:c>
      <x:c r="Y2" s="7" t="n">
        <x:f>COUNTA(V2:X2)</x:f>
        <x:v>3</x:v>
      </x:c>
      <x:c r="Z2" s="7" t="str">
        <x:v>High</x:v>
      </x:c>
      <x:c r="AA2" s="7" t="str">
        <x:v>Send tailored teaser to corp strategy and Mobile Casual Center; ask for 30-minute fit call.</x:v>
      </x:c>
      <x:c r="AB2" s="7" t="str">
        <x:v>Not Started</x:v>
      </x:c>
      <x:c r="AC2" s="7" t="str">
        <x:v>2026-06-02</x:v>
      </x:c>
      <x:c r="AD2" s="7" t="str"/>
      <x:c r="AE2" s="7" t="str"/>
      <x:c r="AF2" s="7" t="str">
        <x:v>2025年收入 KRW 1.51万亿，移动游戏收入 KRW 7,944亿；大型上市公司。</x:v>
      </x:c>
      <x:c r="AG2" s="7" t="str">
        <x:v>Lineage 系列、AION、Guild Wars 2、THRONE AND LIBERTY；移动休闲布局含 Lihuhu/Springcomes/JustPlay。</x:v>
      </x:c>
      <x:c r="AH2" s="7" t="str">
        <x:v>未公开商务邮箱</x:v>
      </x:c>
      <x:c r="AI2" s="7" t="str">
        <x:v>未找到公开商务邮箱；建议使用官方联系入口：https://about.ncsoft.com/en</x:v>
      </x:c>
    </x:row>
    <x:row r="3">
      <x:c r="A3" s="7" t="str">
        <x:v>KR-002</x:v>
      </x:c>
      <x:c r="B3" s="7" t="str">
        <x:v>A</x:v>
      </x:c>
      <x:c r="C3" s="7" t="n">
        <x:v>2</x:v>
      </x:c>
      <x:c r="D3" s="7" t="str">
        <x:v>KRAFTON</x:v>
      </x:c>
      <x:c r="E3" s="7" t="str">
        <x:v>Korea</x:v>
      </x:c>
      <x:c r="F3" s="7" t="str">
        <x:v>Seongnam, Korea</x:v>
      </x:c>
      <x:c r="G3" s="7" t="str">
        <x:v>https://www.krafton.com/en</x:v>
      </x:c>
      <x:c r="H3" s="7" t="str">
        <x:v>Public publisher/holding company; strategic investor/acquirer</x:v>
      </x:c>
      <x:c r="I3" s="7" t="str">
        <x:v>PUBG, inZOI, Subnautica, Last Epoch; 2nd Party Publishing model; investments/acquisitions across studios and adtech</x:v>
      </x:c>
      <x:c r="J3" s="8" t="n">
        <x:v>28</x:v>
      </x:c>
      <x:c r="K3" s="8" t="n">
        <x:v>24</x:v>
      </x:c>
      <x:c r="L3" s="8" t="n">
        <x:v>16</x:v>
      </x:c>
      <x:c r="M3" s="8" t="n">
        <x:v>15</x:v>
      </x:c>
      <x:c r="N3" s="8" t="n">
        <x:v>8</x:v>
      </x:c>
      <x:c r="O3" s="8" t="n">
        <x:f>SUM(J3:N3)</x:f>
        <x:v>91</x:v>
      </x:c>
      <x:c r="P3" s="7" t="str">
        <x:v>Strategic investment; 2PP publishing; acquisition; MG</x:v>
      </x:c>
      <x:c r="Q3" s="7" t="str">
        <x:v>HQ Global Publishing; Investment; New IP/2PP team</x:v>
      </x:c>
      <x:c r="R3" s="7" t="str">
        <x:v>Official contact, corporate LinkedIn, publishing/BD warm intro</x:v>
      </x:c>
      <x:c r="S3" s="7" t="str">
        <x:v>https://www.krafton.com/en/contact/</x:v>
      </x:c>
      <x:c r="T3" s="7" t="str">
        <x:v>Position as a validated external mobile project that can enter their scalable 2PP/IP discovery pipeline.</x:v>
      </x:c>
      <x:c r="U3" s="7" t="str">
        <x:v>2025 release states KRAFTON is building 13 new projects, targeted investments, and a scalable 2PP model.</x:v>
      </x:c>
      <x:c r="V3" s="7" t="str">
        <x:v>https://krafton.com/en/news/press/krafton-achieve-record-high-revenue-in-the-first-half-of-2025/</x:v>
      </x:c>
      <x:c r="W3" s="7" t="str">
        <x:v>https://www.krafton.com/en/news/press/krafton-acquires-eleventh-hour-games-creators-of-last-epoch/</x:v>
      </x:c>
      <x:c r="X3" s="7" t="str">
        <x:v>https://www.krafton.com/en/ir/</x:v>
      </x:c>
      <x:c r="Y3" s="7" t="n">
        <x:f>COUNTA(V3:X3)</x:f>
        <x:v>3</x:v>
      </x:c>
      <x:c r="Z3" s="7" t="str">
        <x:v>High</x:v>
      </x:c>
      <x:c r="AA3" s="7" t="str">
        <x:v>Approach Global Publishing/2PP; include gameplay video and KPI one-pager.</x:v>
      </x:c>
      <x:c r="AB3" s="7" t="str">
        <x:v>Not Started</x:v>
      </x:c>
      <x:c r="AC3" s="7" t="str">
        <x:v>2026-06-02</x:v>
      </x:c>
      <x:c r="AD3" s="7" t="str"/>
      <x:c r="AE3" s="7" t="str"/>
      <x:c r="AF3" s="7" t="str">
        <x:v>2025年收入 KRW 3.3266万亿，营业利润 KRW 1.0544万亿；19个创意工作室网络。</x:v>
      </x:c>
      <x:c r="AG3" s="7" t="str">
        <x:v>PUBG: BATTLEGROUNDS、PUBG MOBILE、inZOI、Subnautica、Last Epoch。</x:v>
      </x:c>
      <x:c r="AH3" s="7" t="str">
        <x:v>biz@krafton.com; ask@krafton.com</x:v>
      </x:c>
      <x:c r="AI3" s="7" t="str">
        <x:v>官网 Contact Us 公开 Business/Others 邮箱；优先 biz@。</x:v>
      </x:c>
    </x:row>
    <x:row r="4">
      <x:c r="A4" s="7" t="str">
        <x:v>JP-003</x:v>
      </x:c>
      <x:c r="B4" s="7" t="str">
        <x:v>A</x:v>
      </x:c>
      <x:c r="C4" s="7" t="n">
        <x:v>3</x:v>
      </x:c>
      <x:c r="D4" s="7" t="str">
        <x:v>Bandai Namco Entertainment / 021 Fund</x:v>
      </x:c>
      <x:c r="E4" s="7" t="str">
        <x:v>Japan</x:v>
      </x:c>
      <x:c r="F4" s="7" t="str">
        <x:v>Tokyo, Japan</x:v>
      </x:c>
      <x:c r="G4" s="7" t="str">
        <x:v>https://www.bandainamcoent.co.jp/english/</x:v>
      </x:c>
      <x:c r="H4" s="7" t="str">
        <x:v>Publisher; CVC with game studio mandate</x:v>
      </x:c>
      <x:c r="I4" s="7" t="str">
        <x:v>Bandai Namco mobile/console publishing; 021 Fund investment program; global publishing and marketing strength</x:v>
      </x:c>
      <x:c r="J4" s="8" t="n">
        <x:v>27</x:v>
      </x:c>
      <x:c r="K4" s="8" t="n">
        <x:v>23</x:v>
      </x:c>
      <x:c r="L4" s="8" t="n">
        <x:v>15</x:v>
      </x:c>
      <x:c r="M4" s="8" t="n">
        <x:v>14</x:v>
      </x:c>
      <x:c r="N4" s="8" t="n">
        <x:v>9</x:v>
      </x:c>
      <x:c r="O4" s="8" t="n">
        <x:f>SUM(J4:N4)</x:f>
        <x:v>88</x:v>
      </x:c>
      <x:c r="P4" s="7" t="str">
        <x:v>Minority investment; publishing; strategic partnership; option to acquire</x:v>
      </x:c>
      <x:c r="Q4" s="7" t="str">
        <x:v>Bandai Namco 021 Fund; External Production/Publishing</x:v>
      </x:c>
      <x:c r="R4" s="7" t="str">
        <x:v>021 Fund website/contact; corporate inquiry</x:v>
      </x:c>
      <x:c r="S4" s="7" t="str">
        <x:v>https://021fund.bn-ent.net/en/</x:v>
      </x:c>
      <x:c r="T4" s="7" t="str">
        <x:v>Frame as an externally developed game studio with a globally testable casual simulation title and potential new IP.</x:v>
      </x:c>
      <x:c r="U4" s="7" t="str">
        <x:v>2025 021 Fund release says investment scope now includes domestic/overseas game studios and global publishing collaboration.</x:v>
      </x:c>
      <x:c r="V4" s="7" t="str">
        <x:v>https://www.bandainamcoent.co.jp/pdfs/HP_20250611.pdf</x:v>
      </x:c>
      <x:c r="W4" s="7" t="str">
        <x:v>https://021fund.bn-ent.net/en/</x:v>
      </x:c>
      <x:c r="X4" s="7" t="str">
        <x:v>https://www.bandainamcoent.co.jp/english/</x:v>
      </x:c>
      <x:c r="Y4" s="7" t="n">
        <x:f>COUNTA(V4:X4)</x:f>
        <x:v>3</x:v>
      </x:c>
      <x:c r="Z4" s="7" t="str">
        <x:v>High</x:v>
      </x:c>
      <x:c r="AA4" s="7" t="str">
        <x:v>Submit to 021 Fund and parallel-route to mobile publishing BD.</x:v>
      </x:c>
      <x:c r="AB4" s="7" t="str">
        <x:v>Not Started</x:v>
      </x:c>
      <x:c r="AC4" s="7" t="str">
        <x:v>2026-06-02</x:v>
      </x:c>
      <x:c r="AD4" s="7" t="str"/>
      <x:c r="AE4" s="7" t="str"/>
      <x:c r="AF4" s="7" t="str">
        <x:v>Bandai Namco Entertainment 员工约841人（2025/04）；母集团员工约1.1万人级。</x:v>
      </x:c>
      <x:c r="AG4" s="7" t="str">
        <x:v>Dragon Ball、One Piece、Gundam、Tekken、Elden Ring 发行；021 Fund 面向外部娱乐/游戏创业公司。</x:v>
      </x:c>
      <x:c r="AH4" s="7" t="str">
        <x:v>未公开商务邮箱</x:v>
      </x:c>
      <x:c r="AI4" s="7" t="str">
        <x:v>未找到公开商务邮箱；建议使用官方联系入口：https://021fund.bn-ent.net/en/</x:v>
      </x:c>
    </x:row>
    <x:row r="5">
      <x:c r="A5" s="7" t="str">
        <x:v>KR-004</x:v>
      </x:c>
      <x:c r="B5" s="7" t="str">
        <x:v>A</x:v>
      </x:c>
      <x:c r="C5" s="7" t="n">
        <x:v>4</x:v>
      </x:c>
      <x:c r="D5" s="7" t="str">
        <x:v>Com2uS Holdings</x:v>
      </x:c>
      <x:c r="E5" s="7" t="str">
        <x:v>Korea</x:v>
      </x:c>
      <x:c r="F5" s="7" t="str">
        <x:v>Seoul, Korea</x:v>
      </x:c>
      <x:c r="G5" s="7" t="str">
        <x:v>https://holdings.com2us.com/en</x:v>
      </x:c>
      <x:c r="H5" s="7" t="str">
        <x:v>Public holding/publisher; global publishing partner</x:v>
      </x:c>
      <x:c r="I5" s="7" t="str">
        <x:v>Global publishing pipeline; Gamevil heritage; external developer publishing</x:v>
      </x:c>
      <x:c r="J5" s="8" t="n">
        <x:v>24</x:v>
      </x:c>
      <x:c r="K5" s="8" t="n">
        <x:v>20</x:v>
      </x:c>
      <x:c r="L5" s="8" t="n">
        <x:v>18</x:v>
      </x:c>
      <x:c r="M5" s="8" t="n">
        <x:v>14</x:v>
      </x:c>
      <x:c r="N5" s="8" t="n">
        <x:v>9</x:v>
      </x:c>
      <x:c r="O5" s="8" t="n">
        <x:f>SUM(J5:N5)</x:f>
        <x:v>85</x:v>
      </x:c>
      <x:c r="P5" s="7" t="str">
        <x:v>Publishing; MG; strategic investment; regional/global launch</x:v>
      </x:c>
      <x:c r="Q5" s="7" t="str">
        <x:v>Publishing team; Corporate Strategy</x:v>
      </x:c>
      <x:c r="R5" s="7" t="str">
        <x:v>Publishing proposal/contact form; corporate inquiry</x:v>
      </x:c>
      <x:c r="S5" s="7" t="str">
        <x:v>https://holdings.com2us.com/en/about/game-business</x:v>
      </x:c>
      <x:c r="T5" s="7" t="str">
        <x:v>Emphasize global mobile publishing fit and short path to soft-launch decision using US KPI proof.</x:v>
      </x:c>
      <x:c r="U5" s="7" t="str">
        <x:v>Official publishing page says developers worldwide can partner with Com2uS Holdings; IR materials show global mobile pipeline.</x:v>
      </x:c>
      <x:c r="V5" s="7" t="str">
        <x:v>https://global.com2us.com/holdings/company/publishing</x:v>
      </x:c>
      <x:c r="W5" s="7" t="str">
        <x:v>https://holdings.com2us.com/en/about/game-business</x:v>
      </x:c>
      <x:c r="X5" s="7" t="str">
        <x:v>https://holdings.com2us.com/en/ir</x:v>
      </x:c>
      <x:c r="Y5" s="7" t="n">
        <x:f>COUNTA(V5:X5)</x:f>
        <x:v>3</x:v>
      </x:c>
      <x:c r="Z5" s="7" t="str">
        <x:v>High</x:v>
      </x:c>
      <x:c r="AA5" s="7" t="str">
        <x:v>Use publishing doorway; ask for evaluation meeting and MG/investment appetite.</x:v>
      </x:c>
      <x:c r="AB5" s="7" t="str">
        <x:v>Not Started</x:v>
      </x:c>
      <x:c r="AC5" s="7" t="str">
        <x:v>2026-06-02</x:v>
      </x:c>
      <x:c r="AD5" s="7" t="str"/>
      <x:c r="AE5" s="7" t="str"/>
      <x:c r="AF5" s="7" t="str">
        <x:v>公开资料称累计游戏下载超过3亿次；上市移动游戏集团。</x:v>
      </x:c>
      <x:c r="AG5" s="7" t="str">
        <x:v>Gamevil/Com2uS Holdings 发行体系；外部开发者全球发行合作。</x:v>
      </x:c>
      <x:c r="AH5" s="7" t="str">
        <x:v>未公开商务邮箱</x:v>
      </x:c>
      <x:c r="AI5" s="7" t="str">
        <x:v>官网提供 Publishing/contact 入口；抓取到隐私邮箱，不建议用于BD。</x:v>
      </x:c>
    </x:row>
    <x:row r="6">
      <x:c r="A6" s="7" t="str">
        <x:v>JP-005</x:v>
      </x:c>
      <x:c r="B6" s="7" t="str">
        <x:v>A</x:v>
      </x:c>
      <x:c r="C6" s="7" t="n">
        <x:v>5</x:v>
      </x:c>
      <x:c r="D6" s="7" t="str">
        <x:v>DeNA</x:v>
      </x:c>
      <x:c r="E6" s="7" t="str">
        <x:v>Japan</x:v>
      </x:c>
      <x:c r="F6" s="7" t="str">
        <x:v>Tokyo, Japan</x:v>
      </x:c>
      <x:c r="G6" s="7" t="str">
        <x:v>https://dena.com/intl/</x:v>
      </x:c>
      <x:c r="H6" s="7" t="str">
        <x:v>Public mobile/internet company; strategic investor and game operator</x:v>
      </x:c>
      <x:c r="I6" s="7" t="str">
        <x:v>Mobage; mobile games with partners; Strategic Investment Office portfolio</x:v>
      </x:c>
      <x:c r="J6" s="8" t="n">
        <x:v>25</x:v>
      </x:c>
      <x:c r="K6" s="8" t="n">
        <x:v>22</x:v>
      </x:c>
      <x:c r="L6" s="8" t="n">
        <x:v>15</x:v>
      </x:c>
      <x:c r="M6" s="8" t="n">
        <x:v>13</x:v>
      </x:c>
      <x:c r="N6" s="8" t="n">
        <x:v>9</x:v>
      </x:c>
      <x:c r="O6" s="8" t="n">
        <x:f>SUM(J6:N6)</x:f>
        <x:v>84</x:v>
      </x:c>
      <x:c r="P6" s="7" t="str">
        <x:v>Strategic investment; publishing partnership; Japan/Asia distribution</x:v>
      </x:c>
      <x:c r="Q6" s="7" t="str">
        <x:v>Strategic Investment Office; Game Business</x:v>
      </x:c>
      <x:c r="R6" s="7" t="str">
        <x:v>Strategic Investment Office page; corporate inquiry</x:v>
      </x:c>
      <x:c r="S6" s="7" t="str">
        <x:v>https://dena.com/intl/services/invest.html</x:v>
      </x:c>
      <x:c r="T6" s="7" t="str">
        <x:v>Pitch as entrepreneur-led mobile game team with validated US traction and Asia expansion optionality.</x:v>
      </x:c>
      <x:c r="U6" s="7" t="str">
        <x:v>DeNA states it provides capital plus Asia gateway and operational support to entrepreneurs; services page confirms mobile game operations.</x:v>
      </x:c>
      <x:c r="V6" s="7" t="str">
        <x:v>https://dena.com/intl/services/invest.html</x:v>
      </x:c>
      <x:c r="W6" s="7" t="str">
        <x:v>https://dena.com/intl/services/</x:v>
      </x:c>
      <x:c r="X6" s="7" t="str">
        <x:v>https://dena.com/intl/company/overview.html</x:v>
      </x:c>
      <x:c r="Y6" s="7" t="n">
        <x:f>COUNTA(V6:X6)</x:f>
        <x:v>3</x:v>
      </x:c>
      <x:c r="Z6" s="7" t="str">
        <x:v>High</x:v>
      </x:c>
      <x:c r="AA6" s="7" t="str">
        <x:v>Send investor-style teaser first, then game business intro if interest is publishing-led.</x:v>
      </x:c>
      <x:c r="AB6" s="7" t="str">
        <x:v>Not Started</x:v>
      </x:c>
      <x:c r="AC6" s="7" t="str">
        <x:v>2026-06-02</x:v>
      </x:c>
      <x:c r="AD6" s="7" t="str"/>
      <x:c r="AE6" s="7" t="str"/>
      <x:c r="AF6" s="7" t="str">
        <x:v>上市互联网/游戏集团；资本金约103.97亿日元（2025/03），集团年收入百亿日元级。</x:v>
      </x:c>
      <x:c r="AG6" s="7" t="str">
        <x:v>Mobage、Pokémon Masters EX、FINAL FANTASY Record Keeper；Strategic Investment Office。</x:v>
      </x:c>
      <x:c r="AH6" s="7" t="str">
        <x:v>未公开商务邮箱</x:v>
      </x:c>
      <x:c r="AI6" s="7" t="str">
        <x:v>未找到公开商务邮箱；建议使用官方联系入口：https://dena.com/intl/services/invest.html</x:v>
      </x:c>
    </x:row>
    <x:row r="7">
      <x:c r="A7" s="7" t="str">
        <x:v>KR-006</x:v>
      </x:c>
      <x:c r="B7" s="7" t="str">
        <x:v>A</x:v>
      </x:c>
      <x:c r="C7" s="7" t="n">
        <x:v>6</x:v>
      </x:c>
      <x:c r="D7" s="7" t="str">
        <x:v>Com2uS</x:v>
      </x:c>
      <x:c r="E7" s="7" t="str">
        <x:v>Korea</x:v>
      </x:c>
      <x:c r="F7" s="7" t="str">
        <x:v>Seoul, Korea</x:v>
      </x:c>
      <x:c r="G7" s="7" t="str">
        <x:v>https://www.com2us.com/en</x:v>
      </x:c>
      <x:c r="H7" s="7" t="str">
        <x:v>Public mobile game developer/publisher</x:v>
      </x:c>
      <x:c r="I7" s="7" t="str">
        <x:v>Summoners War; MLB 9 Innings; mobile/PC pipeline; external publishing titles</x:v>
      </x:c>
      <x:c r="J7" s="8" t="n">
        <x:v>23</x:v>
      </x:c>
      <x:c r="K7" s="8" t="n">
        <x:v>19</x:v>
      </x:c>
      <x:c r="L7" s="8" t="n">
        <x:v>18</x:v>
      </x:c>
      <x:c r="M7" s="8" t="n">
        <x:v>14</x:v>
      </x:c>
      <x:c r="N7" s="8" t="n">
        <x:v>8</x:v>
      </x:c>
      <x:c r="O7" s="8" t="n">
        <x:f>SUM(J7:N7)</x:f>
        <x:v>82</x:v>
      </x:c>
      <x:c r="P7" s="7" t="str">
        <x:v>Publishing; MG; co-development; strategic investment</x:v>
      </x:c>
      <x:c r="Q7" s="7" t="str">
        <x:v>Publishing; Business Development; Global Business</x:v>
      </x:c>
      <x:c r="R7" s="7" t="str">
        <x:v>Corporate contact and publishing/business inquiry</x:v>
      </x:c>
      <x:c r="S7" s="7" t="str">
        <x:v>https://www.com2us.com/en</x:v>
      </x:c>
      <x:c r="T7" s="7" t="str">
        <x:v>Lead with high-retention US mobile simulation title that can use Com2uS global publishing and LiveOps.</x:v>
      </x:c>
      <x:c r="U7" s="7" t="str">
        <x:v>Com2uS describes broad mobile game portfolio and 2025/2026 global pipeline includes publishing titles.</x:v>
      </x:c>
      <x:c r="V7" s="7" t="str">
        <x:v>https://global.com2us.com/</x:v>
      </x:c>
      <x:c r="W7" s="7" t="str">
        <x:v>https://www.com2us.com/file/download/2346</x:v>
      </x:c>
      <x:c r="X7" s="7" t="str">
        <x:v>https://store.steampowered.com/publisher/Com2uS</x:v>
      </x:c>
      <x:c r="Y7" s="7" t="n">
        <x:f>COUNTA(V7:X7)</x:f>
        <x:v>3</x:v>
      </x:c>
      <x:c r="Z7" s="7" t="str">
        <x:v>High</x:v>
      </x:c>
      <x:c r="AA7" s="7" t="str">
        <x:v>Approach publishing team; include data deck and build link.</x:v>
      </x:c>
      <x:c r="AB7" s="7" t="str">
        <x:v>Not Started</x:v>
      </x:c>
      <x:c r="AC7" s="7" t="str">
        <x:v>2026-06-02</x:v>
      </x:c>
      <x:c r="AD7" s="7" t="str"/>
      <x:c r="AE7" s="7" t="str"/>
      <x:c r="AF7" s="7" t="str">
        <x:v>上市移动游戏公司；Summoners War 全球长线运营，集团年收入千亿韩元级。</x:v>
      </x:c>
      <x:c r="AG7" s="7" t="str">
        <x:v>Summoners War、MLB 9 Innings、Starseed、MiniGame Party。</x:v>
      </x:c>
      <x:c r="AH7" s="7" t="str">
        <x:v>publishing@com2us.com</x:v>
      </x:c>
      <x:c r="AI7" s="7" t="str">
        <x:v>Com2uS 韩文联系/Publishing 页面公开邮箱；适合发行提案。</x:v>
      </x:c>
    </x:row>
    <x:row r="8">
      <x:c r="A8" s="7" t="str">
        <x:v>JP-007</x:v>
      </x:c>
      <x:c r="B8" s="7" t="str">
        <x:v>A</x:v>
      </x:c>
      <x:c r="C8" s="7" t="n">
        <x:v>7</x:v>
      </x:c>
      <x:c r="D8" s="7" t="str">
        <x:v>CyberAgent</x:v>
      </x:c>
      <x:c r="E8" s="7" t="str">
        <x:v>Japan</x:v>
      </x:c>
      <x:c r="F8" s="7" t="str">
        <x:v>Tokyo, Japan</x:v>
      </x:c>
      <x:c r="G8" s="7" t="str">
        <x:v>https://www.cyberagent.co.jp/en/</x:v>
      </x:c>
      <x:c r="H8" s="7" t="str">
        <x:v>Public internet/media/game group</x:v>
      </x:c>
      <x:c r="I8" s="7" t="str">
        <x:v>Cygames and SGE subsidiaries; large smartphone game structure; global expansion focus</x:v>
      </x:c>
      <x:c r="J8" s="8" t="n">
        <x:v>23</x:v>
      </x:c>
      <x:c r="K8" s="8" t="n">
        <x:v>18</x:v>
      </x:c>
      <x:c r="L8" s="8" t="n">
        <x:v>17</x:v>
      </x:c>
      <x:c r="M8" s="8" t="n">
        <x:v>14</x:v>
      </x:c>
      <x:c r="N8" s="8" t="n">
        <x:v>7</x:v>
      </x:c>
      <x:c r="O8" s="8" t="n">
        <x:f>SUM(J8:N8)</x:f>
        <x:v>79</x:v>
      </x:c>
      <x:c r="P8" s="7" t="str">
        <x:v>Strategic partnership; publishing; investment; possible studio collaboration</x:v>
      </x:c>
      <x:c r="Q8" s="7" t="str">
        <x:v>Game Business / SGE; Investment or IP strategy</x:v>
      </x:c>
      <x:c r="R8" s="7" t="str">
        <x:v>Corporate inquiry; IR/corporate page; warm intro to SGE</x:v>
      </x:c>
      <x:c r="S8" s="7" t="str">
        <x:v>https://www.cyberagent.co.jp/en/contact/</x:v>
      </x:c>
      <x:c r="T8" s="7" t="str">
        <x:v>Position as a US-validated casual adventure title that could fit their overseas mobile growth agenda.</x:v>
      </x:c>
      <x:c r="U8" s="7" t="str">
        <x:v>Integrated report says CyberAgent has one of Japan's largest mobile game development structures and will focus on global expansion.</x:v>
      </x:c>
      <x:c r="V8" s="7" t="str">
        <x:v>https://report.cyberagent.co.jp/en/game/</x:v>
      </x:c>
      <x:c r="W8" s="7" t="str">
        <x:v>https://www.cyberagent.co.jp/en/news/detail/id=32862</x:v>
      </x:c>
      <x:c r="X8" s="7" t="str">
        <x:v>https://www.cyberagent.co.jp/en/ir/</x:v>
      </x:c>
      <x:c r="Y8" s="7" t="n">
        <x:f>COUNTA(V8:X8)</x:f>
        <x:v>3</x:v>
      </x:c>
      <x:c r="Z8" s="7" t="str">
        <x:v>High</x:v>
      </x:c>
      <x:c r="AA8" s="7" t="str">
        <x:v>Route through SGE/Game Business; include concise user-acquisition proof.</x:v>
      </x:c>
      <x:c r="AB8" s="7" t="str">
        <x:v>Not Started</x:v>
      </x:c>
      <x:c r="AC8" s="7" t="str">
        <x:v>2026-06-02</x:v>
      </x:c>
      <x:c r="AD8" s="7" t="str"/>
      <x:c r="AE8" s="7" t="str"/>
      <x:c r="AF8" s="7" t="str">
        <x:v>大型上市互联网/游戏集团；年销售额约8,000亿日元级，游戏子公司矩阵庞大。</x:v>
      </x:c>
      <x:c r="AG8" s="7" t="str">
        <x:v>Cygames/SGE 系手机游戏矩阵，代表包括 Uma Musume、Granblue Fantasy、Shadowverse。</x:v>
      </x:c>
      <x:c r="AH8" s="7" t="str">
        <x:v>未公开商务邮箱</x:v>
      </x:c>
      <x:c r="AI8" s="7" t="str">
        <x:v>未找到公开商务邮箱；建议使用官方联系入口：https://www.cyberagent.co.jp/en/contact/</x:v>
      </x:c>
    </x:row>
    <x:row r="9">
      <x:c r="A9" s="7" t="str">
        <x:v>KR-008</x:v>
      </x:c>
      <x:c r="B9" s="7" t="str">
        <x:v>A</x:v>
      </x:c>
      <x:c r="C9" s="7" t="n">
        <x:v>8</x:v>
      </x:c>
      <x:c r="D9" s="7" t="str">
        <x:v>Netmarble</x:v>
      </x:c>
      <x:c r="E9" s="7" t="str">
        <x:v>Korea</x:v>
      </x:c>
      <x:c r="F9" s="7" t="str">
        <x:v>Seoul, Korea</x:v>
      </x:c>
      <x:c r="G9" s="7" t="str">
        <x:v>https://company.netmarble.com/en</x:v>
      </x:c>
      <x:c r="H9" s="7" t="str">
        <x:v>Public mobile publisher/developer; portfolio buyer</x:v>
      </x:c>
      <x:c r="I9" s="7" t="str">
        <x:v>MARVEL Future Fight, Seven Knights, Solo Leveling; parent of Kabam, SpinX, Jam City</x:v>
      </x:c>
      <x:c r="J9" s="8" t="n">
        <x:v>22</x:v>
      </x:c>
      <x:c r="K9" s="8" t="n">
        <x:v>20</x:v>
      </x:c>
      <x:c r="L9" s="8" t="n">
        <x:v>15</x:v>
      </x:c>
      <x:c r="M9" s="8" t="n">
        <x:v>15</x:v>
      </x:c>
      <x:c r="N9" s="8" t="n">
        <x:v>7</x:v>
      </x:c>
      <x:c r="O9" s="8" t="n">
        <x:f>SUM(J9:N9)</x:f>
        <x:v>79</x:v>
      </x:c>
      <x:c r="P9" s="7" t="str">
        <x:v>Publishing; MG; strategic investment; acquisition if scale proven</x:v>
      </x:c>
      <x:c r="Q9" s="7" t="str">
        <x:v>Global Publishing; Corporate Development; Investment</x:v>
      </x:c>
      <x:c r="R9" s="7" t="str">
        <x:v>Corporate inquiry, LinkedIn, investor/newsroom contact</x:v>
      </x:c>
      <x:c r="S9" s="7" t="str">
        <x:v>https://company.netmarble.com/en</x:v>
      </x:c>
      <x:c r="T9" s="7" t="str">
        <x:v>Pitch as a validated US-tested mobile F2P title adjacent to their global mobile portfolio.</x:v>
      </x:c>
      <x:c r="U9" s="7" t="str">
        <x:v>2025 results page describes Netmarble as leading developer/publisher and lists major subsidiaries/holdings.</x:v>
      </x:c>
      <x:c r="V9" s="7" t="str">
        <x:v>https://ch.netmarble.com/Eng/Newsroom/Detail?bbs_code=1020&amp;post_seq=6475&amp;post_tag=NETMARBLE</x:v>
      </x:c>
      <x:c r="W9" s="7" t="str">
        <x:v>https://company.netmarble.com/en/company/about</x:v>
      </x:c>
      <x:c r="X9" s="7" t="str">
        <x:v>https://company.netmarble.com/en/ir</x:v>
      </x:c>
      <x:c r="Y9" s="7" t="n">
        <x:f>COUNTA(V9:X9)</x:f>
        <x:v>3</x:v>
      </x:c>
      <x:c r="Z9" s="7" t="str">
        <x:v>High</x:v>
      </x:c>
      <x:c r="AA9" s="7" t="str">
        <x:v>Approach global publishing and corp dev; stress modest MG/investment can unlock US scale.</x:v>
      </x:c>
      <x:c r="AB9" s="7" t="str">
        <x:v>Not Started</x:v>
      </x:c>
      <x:c r="AC9" s="7" t="str">
        <x:v>2026-06-02</x:v>
      </x:c>
      <x:c r="AD9" s="7" t="str"/>
      <x:c r="AE9" s="7" t="str"/>
      <x:c r="AF9" s="7" t="str">
        <x:v>大型上市移动发行商；2025年收入约KRW 2.7万亿级，旗下含 Kabam/SpinX/Jam City 等资产。</x:v>
      </x:c>
      <x:c r="AG9" s="7" t="str">
        <x:v>MARVEL Future Fight、Seven Knights、Solo Leveling: ARISE、Ni no Kuni: Cross Worlds。</x:v>
      </x:c>
      <x:c r="AH9" s="7" t="str">
        <x:v>netmarblebiz@netmarble.com</x:v>
      </x:c>
      <x:c r="AI9" s="7" t="str">
        <x:v>官网公开 business 邮箱。</x:v>
      </x:c>
    </x:row>
    <x:row r="10">
      <x:c r="A10" s="7" t="str">
        <x:v>JP-009</x:v>
      </x:c>
      <x:c r="B10" s="7" t="str">
        <x:v>A</x:v>
      </x:c>
      <x:c r="C10" s="7" t="n">
        <x:v>9</x:v>
      </x:c>
      <x:c r="D10" s="7" t="str">
        <x:v>GREE Holdings / WFS</x:v>
      </x:c>
      <x:c r="E10" s="7" t="str">
        <x:v>Japan</x:v>
      </x:c>
      <x:c r="F10" s="7" t="str">
        <x:v>Tokyo, Japan</x:v>
      </x:c>
      <x:c r="G10" s="7" t="str">
        <x:v>https://gree.co.jp/jp/en/</x:v>
      </x:c>
      <x:c r="H10" s="7" t="str">
        <x:v>Public game/IP/investment group; mobile/live-service operator</x:v>
      </x:c>
      <x:c r="I10" s="7" t="str">
        <x:v>WFS live-service games; Pokelabo brand; GREE investment business</x:v>
      </x:c>
      <x:c r="J10" s="8" t="n">
        <x:v>22</x:v>
      </x:c>
      <x:c r="K10" s="8" t="n">
        <x:v>18</x:v>
      </x:c>
      <x:c r="L10" s="8" t="n">
        <x:v>17</x:v>
      </x:c>
      <x:c r="M10" s="8" t="n">
        <x:v>13</x:v>
      </x:c>
      <x:c r="N10" s="8" t="n">
        <x:v>8</x:v>
      </x:c>
      <x:c r="O10" s="8" t="n">
        <x:f>SUM(J10:N10)</x:f>
        <x:v>78</x:v>
      </x:c>
      <x:c r="P10" s="7" t="str">
        <x:v>Publishing; strategic investment; Japan/Asia partnership</x:v>
      </x:c>
      <x:c r="Q10" s="7" t="str">
        <x:v>WFS live-service; GREE investment; business development</x:v>
      </x:c>
      <x:c r="R10" s="7" t="str">
        <x:v>Corporate inquiry and WFS contact</x:v>
      </x:c>
      <x:c r="S10" s="7" t="str">
        <x:v>https://www.wfs.games/en/contact/</x:v>
      </x:c>
      <x:c r="T10" s="7" t="str">
        <x:v>Present as a mobile live-service title with proven Western acquisition metrics and expandable content cadence.</x:v>
      </x:c>
      <x:c r="U10" s="7" t="str">
        <x:v>GREE business overview lists Game and Investment businesses; 2025 restructuring moved live service games into WFS.</x:v>
      </x:c>
      <x:c r="V10" s="7" t="str">
        <x:v>https://gree.co.jp/jp/en/business/index.html</x:v>
      </x:c>
      <x:c r="W10" s="7" t="str">
        <x:v>https://www.wfs.games/en/</x:v>
      </x:c>
      <x:c r="X10" s="7" t="str">
        <x:v>https://www.gematsu.com/2024/11/gree-establishes-gree-studios-to-manage-consumer-games-business-live-service-games-business-absorbed-by-wfs</x:v>
      </x:c>
      <x:c r="Y10" s="7" t="n">
        <x:f>COUNTA(V10:X10)</x:f>
        <x:v>3</x:v>
      </x:c>
      <x:c r="Z10" s="7" t="str">
        <x:v>High</x:v>
      </x:c>
      <x:c r="AA10" s="7" t="str">
        <x:v>Send to WFS/GREE BD; ask whether they prefer publishing, investment, or asset acquisition.</x:v>
      </x:c>
      <x:c r="AB10" s="7" t="str">
        <x:v>Not Started</x:v>
      </x:c>
      <x:c r="AC10" s="7" t="str">
        <x:v>2026-06-02</x:v>
      </x:c>
      <x:c r="AD10" s="7" t="str"/>
      <x:c r="AE10" s="7" t="str"/>
      <x:c r="AF10" s="7" t="str">
        <x:v>上市游戏/投资集团；年收入数百亿日元级，WFS/GREE Studios/Pokelabo 等子品牌。</x:v>
      </x:c>
      <x:c r="AG10" s="7" t="str">
        <x:v>Heaven Burns Red、Another Eden、Fishing Star、Magia Exedra/Pokelabo 相关项目。</x:v>
      </x:c>
      <x:c r="AH10" s="7" t="str">
        <x:v>未公开商务邮箱</x:v>
      </x:c>
      <x:c r="AI10" s="7" t="str">
        <x:v>未找到公开商务邮箱；建议使用官方联系入口：https://www.wfs.games/en/contact/</x:v>
      </x:c>
    </x:row>
    <x:row r="11">
      <x:c r="A11" s="7" t="str">
        <x:v>JP-010</x:v>
      </x:c>
      <x:c r="B11" s="7" t="str">
        <x:v>A</x:v>
      </x:c>
      <x:c r="C11" s="7" t="n">
        <x:v>10</x:v>
      </x:c>
      <x:c r="D11" s="7" t="str">
        <x:v>MIXI</x:v>
      </x:c>
      <x:c r="E11" s="7" t="str">
        <x:v>Japan</x:v>
      </x:c>
      <x:c r="F11" s="7" t="str">
        <x:v>Tokyo, Japan</x:v>
      </x:c>
      <x:c r="G11" s="7" t="str">
        <x:v>https://mixi.co.jp/en/</x:v>
      </x:c>
      <x:c r="H11" s="7" t="str">
        <x:v>Public digital entertainment/investment company</x:v>
      </x:c>
      <x:c r="I11" s="7" t="str">
        <x:v>Monster Strike; Digital Entertainment segment; investment business</x:v>
      </x:c>
      <x:c r="J11" s="8" t="n">
        <x:v>21</x:v>
      </x:c>
      <x:c r="K11" s="8" t="n">
        <x:v>18</x:v>
      </x:c>
      <x:c r="L11" s="8" t="n">
        <x:v>15</x:v>
      </x:c>
      <x:c r="M11" s="8" t="n">
        <x:v>14</x:v>
      </x:c>
      <x:c r="N11" s="8" t="n">
        <x:v>8</x:v>
      </x:c>
      <x:c r="O11" s="8" t="n">
        <x:f>SUM(J11:N11)</x:f>
        <x:v>76</x:v>
      </x:c>
      <x:c r="P11" s="7" t="str">
        <x:v>Strategic investment; publishing; Japan co-operation; MG</x:v>
      </x:c>
      <x:c r="Q11" s="7" t="str">
        <x:v>Digital Entertainment; Investment</x:v>
      </x:c>
      <x:c r="R11" s="7" t="str">
        <x:v>MIXI investment site; corporate inquiry</x:v>
      </x:c>
      <x:c r="S11" s="7" t="str">
        <x:v>https://invest.mixi.co.jp/</x:v>
      </x:c>
      <x:c r="T11" s="7" t="str">
        <x:v>Pitch as a mobile F2P title with US proof, asking whether investment or publishing support fits their digital entertainment goals.</x:v>
      </x:c>
      <x:c r="U11" s="7" t="str">
        <x:v>MIXI corporate profile lists Digital Entertainment and Investment; investment site shows active investing activity.</x:v>
      </x:c>
      <x:c r="V11" s="7" t="str">
        <x:v>https://mixi.co.jp/en/company/profile/</x:v>
      </x:c>
      <x:c r="W11" s="7" t="str">
        <x:v>https://mixi.co.jp/en/business/investment/</x:v>
      </x:c>
      <x:c r="X11" s="7" t="str">
        <x:v>https://invest.mixi.co.jp/</x:v>
      </x:c>
      <x:c r="Y11" s="7" t="n">
        <x:f>COUNTA(V11:X11)</x:f>
        <x:v>3</x:v>
      </x:c>
      <x:c r="Z11" s="7" t="str">
        <x:v>High</x:v>
      </x:c>
      <x:c r="AA11" s="7" t="str">
        <x:v>Approach investment first; parallel outreach to digital entertainment BD.</x:v>
      </x:c>
      <x:c r="AB11" s="7" t="str">
        <x:v>Not Started</x:v>
      </x:c>
      <x:c r="AC11" s="7" t="str">
        <x:v>2026-06-02</x:v>
      </x:c>
      <x:c r="AD11" s="7" t="str"/>
      <x:c r="AE11" s="7" t="str"/>
      <x:c r="AF11" s="7" t="str">
        <x:v>上市数字娱乐集团；年收入千亿日元级，Monster Strike 为核心现金流。</x:v>
      </x:c>
      <x:c r="AG11" s="7" t="str">
        <x:v>Monster Strike、Kotodaman、TIPSTAR/数字娱乐业务。</x:v>
      </x:c>
      <x:c r="AH11" s="7" t="str">
        <x:v>未公开商务邮箱</x:v>
      </x:c>
      <x:c r="AI11" s="7" t="str">
        <x:v>未找到公开商务邮箱；建议使用官方联系入口：https://invest.mixi.co.jp/</x:v>
      </x:c>
    </x:row>
    <x:row r="12">
      <x:c r="A12" s="7" t="str">
        <x:v>KR-011</x:v>
      </x:c>
      <x:c r="B12" s="7" t="str">
        <x:v>A</x:v>
      </x:c>
      <x:c r="C12" s="7" t="n">
        <x:v>11</x:v>
      </x:c>
      <x:c r="D12" s="7" t="str">
        <x:v>Smilegate Megaport</x:v>
      </x:c>
      <x:c r="E12" s="7" t="str">
        <x:v>Korea</x:v>
      </x:c>
      <x:c r="F12" s="7" t="str">
        <x:v>Seongnam, Korea</x:v>
      </x:c>
      <x:c r="G12" s="7" t="str">
        <x:v>https://www.smilegate.com/en/</x:v>
      </x:c>
      <x:c r="H12" s="7" t="str">
        <x:v>Private game group and publisher</x:v>
      </x:c>
      <x:c r="I12" s="7" t="str">
        <x:v>Epic Seven; Lost Ark; Smilegate Megaport publishing; global publishing announcements</x:v>
      </x:c>
      <x:c r="J12" s="8" t="n">
        <x:v>21</x:v>
      </x:c>
      <x:c r="K12" s="8" t="n">
        <x:v>17</x:v>
      </x:c>
      <x:c r="L12" s="8" t="n">
        <x:v>16</x:v>
      </x:c>
      <x:c r="M12" s="8" t="n">
        <x:v>14</x:v>
      </x:c>
      <x:c r="N12" s="8" t="n">
        <x:v>8</x:v>
      </x:c>
      <x:c r="O12" s="8" t="n">
        <x:f>SUM(J12:N12)</x:f>
        <x:v>76</x:v>
      </x:c>
      <x:c r="P12" s="7" t="str">
        <x:v>Publishing; MG; strategic partnership; minority investment</x:v>
      </x:c>
      <x:c r="Q12" s="7" t="str">
        <x:v>Smilegate Megaport; Global Business; Investment</x:v>
      </x:c>
      <x:c r="R12" s="7" t="str">
        <x:v>Smilegate corporate contact; LinkedIn; Megaport business page</x:v>
      </x:c>
      <x:c r="S12" s="7" t="str">
        <x:v>https://www.smilegate.com/en/</x:v>
      </x:c>
      <x:c r="T12" s="7" t="str">
        <x:v>Lead with global-ready mobile F2P and ask whether Megaport wants a US-tested casual simulation title.</x:v>
      </x:c>
      <x:c r="U12" s="7" t="str">
        <x:v>Smilegate official site highlights publishing activity and global business expansion.</x:v>
      </x:c>
      <x:c r="V12" s="7" t="str">
        <x:v>https://www.smilegate.com/en/</x:v>
      </x:c>
      <x:c r="W12" s="7" t="str">
        <x:v>https://www.smilegate.com/business/megaport.do</x:v>
      </x:c>
      <x:c r="X12" s="7" t="str">
        <x:v>https://www.smilegate.com/en/news/list.do</x:v>
      </x:c>
      <x:c r="Y12" s="7" t="n">
        <x:f>COUNTA(V12:X12)</x:f>
        <x:v>3</x:v>
      </x:c>
      <x:c r="Z12" s="7" t="str">
        <x:v>High</x:v>
      </x:c>
      <x:c r="AA12" s="7" t="str">
        <x:v>Send to Megaport/global publishing; include short KPI benchmark table.</x:v>
      </x:c>
      <x:c r="AB12" s="7" t="str">
        <x:v>Not Started</x:v>
      </x:c>
      <x:c r="AC12" s="7" t="str">
        <x:v>2026-06-02</x:v>
      </x:c>
      <x:c r="AD12" s="7" t="str"/>
      <x:c r="AE12" s="7" t="str"/>
      <x:c r="AF12" s="7" t="str">
        <x:v>Smilegate 集团发行板块；集团级公司，全球员工/业务规模千人级。</x:v>
      </x:c>
      <x:c r="AG12" s="7" t="str">
        <x:v>Epic Seven、Lost Ark 全球业务、Smilegate Megaport 发行体系。</x:v>
      </x:c>
      <x:c r="AH12" s="7" t="str">
        <x:v>sgp_biz@smilegate.com</x:v>
      </x:c>
      <x:c r="AI12" s="7" t="str">
        <x:v>Smilegate Megaport 业务页公开邮箱。</x:v>
      </x:c>
    </x:row>
    <x:row r="13">
      <x:c r="A13" s="7" t="str">
        <x:v>JP-012</x:v>
      </x:c>
      <x:c r="B13" s="7" t="str">
        <x:v>A</x:v>
      </x:c>
      <x:c r="C13" s="7" t="n">
        <x:v>12</x:v>
      </x:c>
      <x:c r="D13" s="7" t="str">
        <x:v>KLab</x:v>
      </x:c>
      <x:c r="E13" s="7" t="str">
        <x:v>Japan</x:v>
      </x:c>
      <x:c r="F13" s="7" t="str">
        <x:v>Tokyo, Japan</x:v>
      </x:c>
      <x:c r="G13" s="7" t="str">
        <x:v>https://www.klab.com/en/</x:v>
      </x:c>
      <x:c r="H13" s="7" t="str">
        <x:v>Public mobile online game developer/publisher</x:v>
      </x:c>
      <x:c r="I13" s="7" t="str">
        <x:v>Bleach: Brave Souls; Captain Tsubasa; overseas game development support model</x:v>
      </x:c>
      <x:c r="J13" s="8" t="n">
        <x:v>20</x:v>
      </x:c>
      <x:c r="K13" s="8" t="n">
        <x:v>15</x:v>
      </x:c>
      <x:c r="L13" s="8" t="n">
        <x:v>17</x:v>
      </x:c>
      <x:c r="M13" s="8" t="n">
        <x:v>12</x:v>
      </x:c>
      <x:c r="N13" s="8" t="n">
        <x:v>8</x:v>
      </x:c>
      <x:c r="O13" s="8" t="n">
        <x:f>SUM(J13:N13)</x:f>
        <x:v>72</x:v>
      </x:c>
      <x:c r="P13" s="7" t="str">
        <x:v>Publishing; co-development; Japan/IP collaboration; MG</x:v>
      </x:c>
      <x:c r="Q13" s="7" t="str">
        <x:v>Overseas Game Development Support; Business Development</x:v>
      </x:c>
      <x:c r="R13" s="7" t="str">
        <x:v>Corporate inquiry; press/business contact</x:v>
      </x:c>
      <x:c r="S13" s="7" t="str">
        <x:v>https://www.klab.com/en/contact/</x:v>
      </x:c>
      <x:c r="T13" s="7" t="str">
        <x:v>Emphasize that the game does not require major Japanese IP, but can leverage KLab's global mobile operating experience.</x:v>
      </x:c>
      <x:c r="U13" s="7" t="str">
        <x:v>KLab official releases describe global mobile launches and overseas support model.</x:v>
      </x:c>
      <x:c r="V13" s="7" t="str">
        <x:v>https://www.klab.com/en/</x:v>
      </x:c>
      <x:c r="W13" s="7" t="str">
        <x:v>https://www.klab.com/en/press/release/2025/0801/flyhigh.html</x:v>
      </x:c>
      <x:c r="X13" s="7" t="str">
        <x:v>https://www.klab.com/en/ir/</x:v>
      </x:c>
      <x:c r="Y13" s="7" t="n">
        <x:f>COUNTA(V13:X13)</x:f>
        <x:v>3</x:v>
      </x:c>
      <x:c r="Z13" s="7" t="str">
        <x:v>High</x:v>
      </x:c>
      <x:c r="AA13" s="7" t="str">
        <x:v>Approach BD with KPI teaser and ask for publishing/MG evaluation.</x:v>
      </x:c>
      <x:c r="AB13" s="7" t="str">
        <x:v>Not Started</x:v>
      </x:c>
      <x:c r="AC13" s="7" t="str">
        <x:v>2026-06-02</x:v>
      </x:c>
      <x:c r="AD13" s="7" t="str"/>
      <x:c r="AE13" s="7" t="str"/>
      <x:c r="AF13" s="7" t="str">
        <x:v>上市移动游戏公司；资本金约89.3亿日元，移动游戏开发运营团队。</x:v>
      </x:c>
      <x:c r="AG13" s="7" t="str">
        <x:v>Bleach: Brave Souls、Captain Tsubasa: Dream Team、Love Live! 相关历史项目。</x:v>
      </x:c>
      <x:c r="AH13" s="7" t="str">
        <x:v>未公开商务邮箱</x:v>
      </x:c>
      <x:c r="AI13" s="7" t="str">
        <x:v>未找到公开商务邮箱；建议使用官方联系入口：https://www.klab.com/en/contact/</x:v>
      </x:c>
    </x:row>
    <x:row r="14">
      <x:c r="A14" s="7" t="str">
        <x:v>KR-013</x:v>
      </x:c>
      <x:c r="B14" s="7" t="str">
        <x:v>A</x:v>
      </x:c>
      <x:c r="C14" s="7" t="n">
        <x:v>13</x:v>
      </x:c>
      <x:c r="D14" s="7" t="str">
        <x:v>Kakao Games</x:v>
      </x:c>
      <x:c r="E14" s="7" t="str">
        <x:v>Korea</x:v>
      </x:c>
      <x:c r="F14" s="7" t="str">
        <x:v>Seongnam, Korea</x:v>
      </x:c>
      <x:c r="G14" s="7" t="str">
        <x:v>https://www.kakaogamescorp.com/en</x:v>
      </x:c>
      <x:c r="H14" s="7" t="str">
        <x:v>Public game publisher</x:v>
      </x:c>
      <x:c r="I14" s="7" t="str">
        <x:v>Odin, Uma Musume KR, Eversoul; PC/mobile publishing</x:v>
      </x:c>
      <x:c r="J14" s="8" t="n">
        <x:v>19</x:v>
      </x:c>
      <x:c r="K14" s="8" t="n">
        <x:v>17</x:v>
      </x:c>
      <x:c r="L14" s="8" t="n">
        <x:v>15</x:v>
      </x:c>
      <x:c r="M14" s="8" t="n">
        <x:v>13</x:v>
      </x:c>
      <x:c r="N14" s="8" t="n">
        <x:v>8</x:v>
      </x:c>
      <x:c r="O14" s="8" t="n">
        <x:f>SUM(J14:N14)</x:f>
        <x:v>72</x:v>
      </x:c>
      <x:c r="P14" s="7" t="str">
        <x:v>Publishing; MG; strategic investment; Korea/Japan operation</x:v>
      </x:c>
      <x:c r="Q14" s="7" t="str">
        <x:v>Global Business; Mobile Publishing; Investment</x:v>
      </x:c>
      <x:c r="R14" s="7" t="str">
        <x:v>Corporate contact and IR pages</x:v>
      </x:c>
      <x:c r="S14" s="7" t="str">
        <x:v>https://www.kakaogamescorp.com/en/customer/contact</x:v>
      </x:c>
      <x:c r="T14" s="7" t="str">
        <x:v>Pitch as a mobile F2P project with US proof and a clear Japan/Korea localization path.</x:v>
      </x:c>
      <x:c r="U14" s="7" t="str">
        <x:v>Official site positions Kakao Games as global multi-platform publisher with mobile portfolio and IR materials.</x:v>
      </x:c>
      <x:c r="V14" s="7" t="str">
        <x:v>https://www.kakaogamescorp.com/en</x:v>
      </x:c>
      <x:c r="W14" s="7" t="str">
        <x:v>https://www.kakaogamescorp.com/en/ir/irData</x:v>
      </x:c>
      <x:c r="X14" s="7" t="str">
        <x:v>https://www.kakaogamescorp.com/en/game</x:v>
      </x:c>
      <x:c r="Y14" s="7" t="n">
        <x:f>COUNTA(V14:X14)</x:f>
        <x:v>3</x:v>
      </x:c>
      <x:c r="Z14" s="7" t="str">
        <x:v>High</x:v>
      </x:c>
      <x:c r="AA14" s="7" t="str">
        <x:v>Use corporate contact plus LinkedIn; ask for mobile publishing review.</x:v>
      </x:c>
      <x:c r="AB14" s="7" t="str">
        <x:v>Not Started</x:v>
      </x:c>
      <x:c r="AC14" s="7" t="str">
        <x:v>2026-06-02</x:v>
      </x:c>
      <x:c r="AD14" s="7" t="str"/>
      <x:c r="AE14" s="7" t="str"/>
      <x:c r="AF14" s="7" t="str">
        <x:v>上市游戏发行商；年收入数千亿韩元级，拥有 XLGAMES/Lionheart/Ocean Drive 等工作室。</x:v>
      </x:c>
      <x:c r="AG14" s="7" t="str">
        <x:v>Odin: Valhalla Rising、Uma Musume KR、Eversoul、ArcheAge War。</x:v>
      </x:c>
      <x:c r="AH14" s="7" t="str">
        <x:v>contact@kakaogames.com</x:v>
      </x:c>
      <x:c r="AI14" s="7" t="str">
        <x:v>官网 Contact 页面公开邮箱；页面标注 receive-only，建议并行表单/LinkedIn。</x:v>
      </x:c>
    </x:row>
    <x:row r="15">
      <x:c r="A15" s="7" t="str">
        <x:v>KR-014</x:v>
      </x:c>
      <x:c r="B15" s="7" t="str">
        <x:v>A</x:v>
      </x:c>
      <x:c r="C15" s="7" t="n">
        <x:v>14</x:v>
      </x:c>
      <x:c r="D15" s="7" t="str">
        <x:v>NEOWIZ</x:v>
      </x:c>
      <x:c r="E15" s="7" t="str">
        <x:v>Korea</x:v>
      </x:c>
      <x:c r="F15" s="7" t="str">
        <x:v>Seongnam, Korea</x:v>
      </x:c>
      <x:c r="G15" s="7" t="str">
        <x:v>https://www.neowiz.com/</x:v>
      </x:c>
      <x:c r="H15" s="7" t="str">
        <x:v>Public publisher/developer</x:v>
      </x:c>
      <x:c r="I15" s="7" t="str">
        <x:v>Lies of P, BrownDust2, Sanabi; global IP collaborations and publishing</x:v>
      </x:c>
      <x:c r="J15" s="8" t="n">
        <x:v>20</x:v>
      </x:c>
      <x:c r="K15" s="8" t="n">
        <x:v>17</x:v>
      </x:c>
      <x:c r="L15" s="8" t="n">
        <x:v>14</x:v>
      </x:c>
      <x:c r="M15" s="8" t="n">
        <x:v>13</x:v>
      </x:c>
      <x:c r="N15" s="8" t="n">
        <x:v>8</x:v>
      </x:c>
      <x:c r="O15" s="8" t="n">
        <x:f>SUM(J15:N15)</x:f>
        <x:v>72</x:v>
      </x:c>
      <x:c r="P15" s="7" t="str">
        <x:v>Publishing; co-development; strategic investment</x:v>
      </x:c>
      <x:c r="Q15" s="7" t="str">
        <x:v>Global Publishing; Business Development; Corporate Strategy</x:v>
      </x:c>
      <x:c r="R15" s="7" t="str">
        <x:v>Corporate inquiry; Steam publisher page; IR</x:v>
      </x:c>
      <x:c r="S15" s="7" t="str">
        <x:v>https://www.neowiz.com/neowiz</x:v>
      </x:c>
      <x:c r="T15" s="7" t="str">
        <x:v>Position as external global IP candidate, with mobile casual economics distinct from their PC/console pipeline.</x:v>
      </x:c>
      <x:c r="U15" s="7" t="str">
        <x:v>Recent investor/news coverage shows focus on global IP and partner collaborations; official IR has in-house/publishing pipeline.</x:v>
      </x:c>
      <x:c r="V15" s="7" t="str">
        <x:v>https://cdn.neowiz.com/neowiz-site/assets/ir-library/Q1-2025_NWZ_PPT_EN-dggcl9vz-xkoamocn.pdf</x:v>
      </x:c>
      <x:c r="W15" s="7" t="str">
        <x:v>https://www.neowiz.com/neowiz</x:v>
      </x:c>
      <x:c r="X15" s="7" t="str">
        <x:v>https://store.steampowered.com/publisher/NEOWIZ</x:v>
      </x:c>
      <x:c r="Y15" s="7" t="n">
        <x:f>COUNTA(V15:X15)</x:f>
        <x:v>3</x:v>
      </x:c>
      <x:c r="Z15" s="7" t="str">
        <x:v>High</x:v>
      </x:c>
      <x:c r="AA15" s="7" t="str">
        <x:v>Approach global publishing; frame as portfolio diversification more than core genre match.</x:v>
      </x:c>
      <x:c r="AB15" s="7" t="str">
        <x:v>Not Started</x:v>
      </x:c>
      <x:c r="AC15" s="7" t="str">
        <x:v>2026-06-02</x:v>
      </x:c>
      <x:c r="AD15" s="7" t="str"/>
      <x:c r="AE15" s="7" t="str"/>
      <x:c r="AF15" s="7" t="str">
        <x:v>上市发行/开发公司；年收入数千亿韩元级，PC/主机/移动组合。</x:v>
      </x:c>
      <x:c r="AG15" s="7" t="str">
        <x:v>Lies of P、BrownDust2、Sanabi、DJMAX RESPECT。</x:v>
      </x:c>
      <x:c r="AH15" s="7" t="str">
        <x:v>未公开商务邮箱</x:v>
      </x:c>
      <x:c r="AI15" s="7" t="str">
        <x:v>未找到公开商务邮箱；建议使用官方联系入口：https://www.neowiz.com/neowiz</x:v>
      </x:c>
    </x:row>
    <x:row r="16">
      <x:c r="A16" s="7" t="str">
        <x:v>JP-015</x:v>
      </x:c>
      <x:c r="B16" s="7" t="str">
        <x:v>A</x:v>
      </x:c>
      <x:c r="C16" s="7" t="n">
        <x:v>15</x:v>
      </x:c>
      <x:c r="D16" s="7" t="str">
        <x:v>COLOPL</x:v>
      </x:c>
      <x:c r="E16" s="7" t="str">
        <x:v>Japan</x:v>
      </x:c>
      <x:c r="F16" s="7" t="str">
        <x:v>Tokyo, Japan</x:v>
      </x:c>
      <x:c r="G16" s="7" t="str">
        <x:v>https://colopl.co.jp/en/</x:v>
      </x:c>
      <x:c r="H16" s="7" t="str">
        <x:v>Public mobile game developer/publisher</x:v>
      </x:c>
      <x:c r="I16" s="7" t="str">
        <x:v>Shironeko/White Cat Project; mobile apps; investment through COLOPL NEXT</x:v>
      </x:c>
      <x:c r="J16" s="8" t="n">
        <x:v>18</x:v>
      </x:c>
      <x:c r="K16" s="8" t="n">
        <x:v>16</x:v>
      </x:c>
      <x:c r="L16" s="8" t="n">
        <x:v>16</x:v>
      </x:c>
      <x:c r="M16" s="8" t="n">
        <x:v>12</x:v>
      </x:c>
      <x:c r="N16" s="8" t="n">
        <x:v>7</x:v>
      </x:c>
      <x:c r="O16" s="8" t="n">
        <x:f>SUM(J16:N16)</x:f>
        <x:v>69</x:v>
      </x:c>
      <x:c r="P16" s="7" t="str">
        <x:v>Strategic investment; publishing; co-development</x:v>
      </x:c>
      <x:c r="Q16" s="7" t="str">
        <x:v>COLOPL NEXT; Game Business; BD</x:v>
      </x:c>
      <x:c r="R16" s="7" t="str">
        <x:v>Corporate inquiry and COLOPL NEXT</x:v>
      </x:c>
      <x:c r="S16" s="7" t="str">
        <x:v>https://www.coloplnext.co.jp/en/</x:v>
      </x:c>
      <x:c r="T16" s="7" t="str">
        <x:v>Pitch as a mobile casual-adventure studio with US proof and potential portfolio extension.</x:v>
      </x:c>
      <x:c r="U16" s="7" t="str">
        <x:v>COLOPL official pages cover mobile entertainment; COLOPL NEXT provides venture investment pathway.</x:v>
      </x:c>
      <x:c r="V16" s="7" t="str">
        <x:v>https://colopl.co.jp/en/</x:v>
      </x:c>
      <x:c r="W16" s="7" t="str">
        <x:v>https://www.coloplnext.co.jp/en/</x:v>
      </x:c>
      <x:c r="X16" s="7" t="str">
        <x:v>https://colopl.co.jp/en/ir/</x:v>
      </x:c>
      <x:c r="Y16" s="7" t="n">
        <x:f>COUNTA(V16:X16)</x:f>
        <x:v>3</x:v>
      </x:c>
      <x:c r="Z16" s="7" t="str">
        <x:v>High</x:v>
      </x:c>
      <x:c r="AA16" s="7" t="str">
        <x:v>Approach COLOPL NEXT and game business in parallel.</x:v>
      </x:c>
      <x:c r="AB16" s="7" t="str">
        <x:v>Not Started</x:v>
      </x:c>
      <x:c r="AC16" s="7" t="str">
        <x:v>2026-06-02</x:v>
      </x:c>
      <x:c r="AD16" s="7" t="str"/>
      <x:c r="AE16" s="7" t="str"/>
      <x:c r="AF16" s="7" t="str">
        <x:v>上市移动游戏公司；年收入数百亿日元级，另有 COLOPL NEXT 投资平台。</x:v>
      </x:c>
      <x:c r="AG16" s="7" t="str">
        <x:v>White Cat Project、Dragon Project、Alice Gear Aegis；COLOPL NEXT 投资。</x:v>
      </x:c>
      <x:c r="AH16" s="7" t="str">
        <x:v>help@colopl.jp</x:v>
      </x:c>
      <x:c r="AI16" s="7" t="str">
        <x:v>官网 Contact 页面公开 help@；偏客服/通用邮箱，另有多款游戏 support 邮箱已排除；BD仍建议并行 COLOPL NEXT/官网入口。</x:v>
      </x:c>
    </x:row>
    <x:row r="17">
      <x:c r="A17" s="7" t="str">
        <x:v>JP-016</x:v>
      </x:c>
      <x:c r="B17" s="7" t="str">
        <x:v>A</x:v>
      </x:c>
      <x:c r="C17" s="7" t="n">
        <x:v>16</x:v>
      </x:c>
      <x:c r="D17" s="7" t="str">
        <x:v>gumi</x:v>
      </x:c>
      <x:c r="E17" s="7" t="str">
        <x:v>Japan</x:v>
      </x:c>
      <x:c r="F17" s="7" t="str">
        <x:v>Tokyo, Japan</x:v>
      </x:c>
      <x:c r="G17" s="7" t="str">
        <x:v>https://gu3.co.jp/en/</x:v>
      </x:c>
      <x:c r="H17" s="7" t="str">
        <x:v>Public mobile/blockchain game company; investor in emerging entertainment</x:v>
      </x:c>
      <x:c r="I17" s="7" t="str">
        <x:v>Brave Frontier heritage, FFBE, blockchain/game investments</x:v>
      </x:c>
      <x:c r="J17" s="8" t="n">
        <x:v>18</x:v>
      </x:c>
      <x:c r="K17" s="8" t="n">
        <x:v>16</x:v>
      </x:c>
      <x:c r="L17" s="8" t="n">
        <x:v>15</x:v>
      </x:c>
      <x:c r="M17" s="8" t="n">
        <x:v>12</x:v>
      </x:c>
      <x:c r="N17" s="8" t="n">
        <x:v>8</x:v>
      </x:c>
      <x:c r="O17" s="8" t="n">
        <x:f>SUM(J17:N17)</x:f>
        <x:v>69</x:v>
      </x:c>
      <x:c r="P17" s="7" t="str">
        <x:v>Publishing; co-development; strategic investment; asset deal</x:v>
      </x:c>
      <x:c r="Q17" s="7" t="str">
        <x:v>Game business; Investment/Blockchain strategy; BD</x:v>
      </x:c>
      <x:c r="R17" s="7" t="str">
        <x:v>Corporate inquiry; IR contact</x:v>
      </x:c>
      <x:c r="S17" s="7" t="str">
        <x:v>https://gu3.co.jp/en/contact/</x:v>
      </x:c>
      <x:c r="T17" s="7" t="str">
        <x:v>Position as a proven F2P mobile project with less speculative risk than early blockchain content.</x:v>
      </x:c>
      <x:c r="U17" s="7" t="str">
        <x:v>gumi official pages describe mobile online game experience and investment/business cooperation in emerging entertainment.</x:v>
      </x:c>
      <x:c r="V17" s="7" t="str">
        <x:v>https://gu3.co.jp/en/</x:v>
      </x:c>
      <x:c r="W17" s="7" t="str">
        <x:v>https://gu3.co.jp/en/blockchain/</x:v>
      </x:c>
      <x:c r="X17" s="7" t="str">
        <x:v>https://gu3.co.jp/en/ir/</x:v>
      </x:c>
      <x:c r="Y17" s="7" t="n">
        <x:f>COUNTA(V17:X17)</x:f>
        <x:v>3</x:v>
      </x:c>
      <x:c r="Z17" s="7" t="str">
        <x:v>High</x:v>
      </x:c>
      <x:c r="AA17" s="7" t="str">
        <x:v>Approach corporate/BD; emphasize real CPI/retention proof and flexible deal structure.</x:v>
      </x:c>
      <x:c r="AB17" s="7" t="str">
        <x:v>Not Started</x:v>
      </x:c>
      <x:c r="AC17" s="7" t="str">
        <x:v>2026-06-02</x:v>
      </x:c>
      <x:c r="AD17" s="7" t="str"/>
      <x:c r="AE17" s="7" t="str"/>
      <x:c r="AF17" s="7" t="str">
        <x:v>上市移动游戏/区块链娱乐公司；年收入百亿日元级。</x:v>
      </x:c>
      <x:c r="AG17" s="7" t="str">
        <x:v>Brave Frontier、Final Fantasy Brave Exvius、Aster Tatariqus。</x:v>
      </x:c>
      <x:c r="AH17" s="7" t="str">
        <x:v>未公开商务邮箱</x:v>
      </x:c>
      <x:c r="AI17" s="7" t="str">
        <x:v>未找到公开商务邮箱；建议使用官方联系入口：https://gu3.co.jp/en/contact/</x:v>
      </x:c>
    </x:row>
    <x:row r="18">
      <x:c r="A18" s="7" t="str">
        <x:v>JP-017</x:v>
      </x:c>
      <x:c r="B18" s="7" t="str">
        <x:v>A</x:v>
      </x:c>
      <x:c r="C18" s="7" t="n">
        <x:v>17</x:v>
      </x:c>
      <x:c r="D18" s="7" t="str">
        <x:v>GungHo Online Entertainment</x:v>
      </x:c>
      <x:c r="E18" s="7" t="str">
        <x:v>Japan</x:v>
      </x:c>
      <x:c r="F18" s="7" t="str">
        <x:v>Tokyo, Japan</x:v>
      </x:c>
      <x:c r="G18" s="7" t="str">
        <x:v>https://www.gungho.co.jp/en/</x:v>
      </x:c>
      <x:c r="H18" s="7" t="str">
        <x:v>Public mobile/online game publisher</x:v>
      </x:c>
      <x:c r="I18" s="7" t="str">
        <x:v>Puzzle &amp; Dragons; mobile/console publishing; global subsidiaries</x:v>
      </x:c>
      <x:c r="J18" s="8" t="n">
        <x:v>18</x:v>
      </x:c>
      <x:c r="K18" s="8" t="n">
        <x:v>15</x:v>
      </x:c>
      <x:c r="L18" s="8" t="n">
        <x:v>16</x:v>
      </x:c>
      <x:c r="M18" s="8" t="n">
        <x:v>13</x:v>
      </x:c>
      <x:c r="N18" s="8" t="n">
        <x:v>7</x:v>
      </x:c>
      <x:c r="O18" s="8" t="n">
        <x:f>SUM(J18:N18)</x:f>
        <x:v>69</x:v>
      </x:c>
      <x:c r="P18" s="7" t="str">
        <x:v>Publishing; MG; co-development; minority investment</x:v>
      </x:c>
      <x:c r="Q18" s="7" t="str">
        <x:v>Business Development; Global Publishing</x:v>
      </x:c>
      <x:c r="R18" s="7" t="str">
        <x:v>Corporate inquiry; IR contact</x:v>
      </x:c>
      <x:c r="S18" s="7" t="str">
        <x:v>https://www.gungho.co.jp/en/contact/</x:v>
      </x:c>
      <x:c r="T18" s="7" t="str">
        <x:v>Frame as a casual F2P simulation project with proven retention and low creative risk.</x:v>
      </x:c>
      <x:c r="U18" s="7" t="str">
        <x:v>Official corporate pages show mobile game operations, global group, and investor communications.</x:v>
      </x:c>
      <x:c r="V18" s="7" t="str">
        <x:v>https://www.gungho.co.jp/en/</x:v>
      </x:c>
      <x:c r="W18" s="7" t="str">
        <x:v>https://www.gungho.co.jp/en/ir/</x:v>
      </x:c>
      <x:c r="X18" s="7" t="str">
        <x:v>https://www.gungho.co.jp/en/game/</x:v>
      </x:c>
      <x:c r="Y18" s="7" t="n">
        <x:f>COUNTA(V18:X18)</x:f>
        <x:v>3</x:v>
      </x:c>
      <x:c r="Z18" s="7" t="str">
        <x:v>High</x:v>
      </x:c>
      <x:c r="AA18" s="7" t="str">
        <x:v>Send polished teaser; ask if mobile publishing or investment team should review.</x:v>
      </x:c>
      <x:c r="AB18" s="7" t="str">
        <x:v>Not Started</x:v>
      </x:c>
      <x:c r="AC18" s="7" t="str">
        <x:v>2026-06-02</x:v>
      </x:c>
      <x:c r="AD18" s="7" t="str"/>
      <x:c r="AE18" s="7" t="str"/>
      <x:c r="AF18" s="7" t="str">
        <x:v>上市移动/在线游戏公司；年收入千亿日元级，Puzzle &amp; Dragons 为核心。</x:v>
      </x:c>
      <x:c r="AG18" s="7" t="str">
        <x:v>Puzzle &amp; Dragons、Ragnarok Online DS/相关合作、Ninjala。</x:v>
      </x:c>
      <x:c r="AH18" s="7" t="str">
        <x:v>未公开商务邮箱</x:v>
      </x:c>
      <x:c r="AI18" s="7" t="str">
        <x:v>未找到公开商务邮箱；建议使用官方联系入口：https://www.gungho.co.jp/en/contact/</x:v>
      </x:c>
    </x:row>
    <x:row r="19">
      <x:c r="A19" s="7" t="str">
        <x:v>KR-018</x:v>
      </x:c>
      <x:c r="B19" s="7" t="str">
        <x:v>A</x:v>
      </x:c>
      <x:c r="C19" s="7" t="n">
        <x:v>18</x:v>
      </x:c>
      <x:c r="D19" s="7" t="str">
        <x:v>Supercent</x:v>
      </x:c>
      <x:c r="E19" s="7" t="str">
        <x:v>Korea</x:v>
      </x:c>
      <x:c r="F19" s="7" t="str">
        <x:v>Seoul, Korea</x:v>
      </x:c>
      <x:c r="G19" s="7" t="str">
        <x:v>https://supercent.io/</x:v>
      </x:c>
      <x:c r="H19" s="7" t="str">
        <x:v>Mobile casual/hypercasual publisher</x:v>
      </x:c>
      <x:c r="I19" s="7" t="str">
        <x:v>Hyper/hybrid-casual publishing; test-driven mobile publishing</x:v>
      </x:c>
      <x:c r="J19" s="8" t="n">
        <x:v>17</x:v>
      </x:c>
      <x:c r="K19" s="8" t="n">
        <x:v>13</x:v>
      </x:c>
      <x:c r="L19" s="8" t="n">
        <x:v>20</x:v>
      </x:c>
      <x:c r="M19" s="8" t="n">
        <x:v>11</x:v>
      </x:c>
      <x:c r="N19" s="8" t="n">
        <x:v>8</x:v>
      </x:c>
      <x:c r="O19" s="8" t="n">
        <x:f>SUM(J19:N19)</x:f>
        <x:v>69</x:v>
      </x:c>
      <x:c r="P19" s="7" t="str">
        <x:v>Publishing; MG; UA partnership; lightweight investment</x:v>
      </x:c>
      <x:c r="Q19" s="7" t="str">
        <x:v>Publishing; Developer Relations</x:v>
      </x:c>
      <x:c r="R19" s="7" t="str">
        <x:v>Publishing submission/contact form</x:v>
      </x:c>
      <x:c r="S19" s="7" t="str">
        <x:v>https://supercent.io/</x:v>
      </x:c>
      <x:c r="T19" s="7" t="str">
        <x:v>Lead with CPI/retention details and ask for hybrid-casual scaling perspective.</x:v>
      </x:c>
      <x:c r="U19" s="7" t="str">
        <x:v>Official site positions Supercent around casual mobile publishing and developer partnerships.</x:v>
      </x:c>
      <x:c r="V19" s="7" t="str">
        <x:v>https://supercent.io/</x:v>
      </x:c>
      <x:c r="W19" s="7" t="str">
        <x:v>https://www.linkedin.com/company/supercent/</x:v>
      </x:c>
      <x:c r="X19" s="7" t="str">
        <x:v>https://supercent.io/contact</x:v>
      </x:c>
      <x:c r="Y19" s="7" t="n">
        <x:f>COUNTA(V19:X19)</x:f>
        <x:v>3</x:v>
      </x:c>
      <x:c r="Z19" s="7" t="str">
        <x:v>High</x:v>
      </x:c>
      <x:c r="AA19" s="7" t="str">
        <x:v>Submit through publisher intake; suited for rapid test feedback.</x:v>
      </x:c>
      <x:c r="AB19" s="7" t="str">
        <x:v>Not Started</x:v>
      </x:c>
      <x:c r="AC19" s="7" t="str">
        <x:v>2026-06-02</x:v>
      </x:c>
      <x:c r="AD19" s="7" t="str"/>
      <x:c r="AE19" s="7" t="str"/>
      <x:c r="AF19" s="7" t="str">
        <x:v>中小型休闲手游公司；公开公司资料常见规模约51-200人级。</x:v>
      </x:c>
      <x:c r="AG19" s="7" t="str">
        <x:v>Burger Please!、Outlets Rush、Pizza Ready!、Snake Clash；官网显示累计下载 1.5B+、累计收入 $380M+。</x:v>
      </x:c>
      <x:c r="AH19" s="7" t="str">
        <x:v>help@supercent.io</x:v>
      </x:c>
      <x:c r="AI19" s="7" t="str">
        <x:v>官网英文 About、韩文公司页、Terms/Privacy 等页面均公开 help@supercent.io；偏通用/客服邮箱，BD仍建议并行 Submit Your Game/Publishing 入口。</x:v>
      </x:c>
    </x:row>
    <x:row r="20">
      <x:c r="A20" s="7" t="str">
        <x:v>KR-019</x:v>
      </x:c>
      <x:c r="B20" s="7" t="str">
        <x:v>A</x:v>
      </x:c>
      <x:c r="C20" s="7" t="n">
        <x:v>19</x:v>
      </x:c>
      <x:c r="D20" s="7" t="str">
        <x:v>111Percent</x:v>
      </x:c>
      <x:c r="E20" s="7" t="str">
        <x:v>Korea</x:v>
      </x:c>
      <x:c r="F20" s="7" t="str">
        <x:v>Seoul, Korea</x:v>
      </x:c>
      <x:c r="G20" s="7" t="str">
        <x:v>https://111percent.net/en/</x:v>
      </x:c>
      <x:c r="H20" s="7" t="str">
        <x:v>Casual/hypercasual mobile game company</x:v>
      </x:c>
      <x:c r="I20" s="7" t="str">
        <x:v>Random Dice; casual mobile portfolio; publishing label Supercent connection</x:v>
      </x:c>
      <x:c r="J20" s="8" t="n">
        <x:v>17</x:v>
      </x:c>
      <x:c r="K20" s="8" t="n">
        <x:v>12</x:v>
      </x:c>
      <x:c r="L20" s="8" t="n">
        <x:v>20</x:v>
      </x:c>
      <x:c r="M20" s="8" t="n">
        <x:v>10</x:v>
      </x:c>
      <x:c r="N20" s="8" t="n">
        <x:v>8</x:v>
      </x:c>
      <x:c r="O20" s="8" t="n">
        <x:f>SUM(J20:N20)</x:f>
        <x:v>67</x:v>
      </x:c>
      <x:c r="P20" s="7" t="str">
        <x:v>Publishing; UA partnership; strategic collaboration</x:v>
      </x:c>
      <x:c r="Q20" s="7" t="str">
        <x:v>Publishing; Business Development; Supercent relationship</x:v>
      </x:c>
      <x:c r="R20" s="7" t="str">
        <x:v>Official site/contact; LinkedIn</x:v>
      </x:c>
      <x:c r="S20" s="7" t="str">
        <x:v>https://111percent.net/en/contact/</x:v>
      </x:c>
      <x:c r="T20" s="7" t="str">
        <x:v>Position as proven casual-sim title; ask whether 111% or Supercent is the right evaluation path.</x:v>
      </x:c>
      <x:c r="U20" s="7" t="str">
        <x:v>Official site lists mobile casual portfolio and company focus.</x:v>
      </x:c>
      <x:c r="V20" s="7" t="str">
        <x:v>https://111percent.net/en/</x:v>
      </x:c>
      <x:c r="W20" s="7" t="str">
        <x:v>https://111percent.net/en/games/</x:v>
      </x:c>
      <x:c r="X20" s="7" t="str">
        <x:v>https://www.linkedin.com/company/111percent/</x:v>
      </x:c>
      <x:c r="Y20" s="7" t="n">
        <x:f>COUNTA(V20:X20)</x:f>
        <x:v>3</x:v>
      </x:c>
      <x:c r="Z20" s="7" t="str">
        <x:v>High</x:v>
      </x:c>
      <x:c r="AA20" s="7" t="str">
        <x:v>Route to Supercent/111% BD; use data-first opener.</x:v>
      </x:c>
      <x:c r="AB20" s="7" t="str">
        <x:v>Not Started</x:v>
      </x:c>
      <x:c r="AC20" s="7" t="str">
        <x:v>2026-06-02</x:v>
      </x:c>
      <x:c r="AD20" s="7" t="str"/>
      <x:c r="AE20" s="7" t="str"/>
      <x:c r="AF20" s="7" t="str">
        <x:v>中小型休闲手游公司；公开公司资料常见规模约51-200人级。</x:v>
      </x:c>
      <x:c r="AG20" s="7" t="str">
        <x:v>Random Dice 系列、B.B.TAN、Wild Tamer；Supercent 生态相关。</x:v>
      </x:c>
      <x:c r="AH20" s="7" t="str">
        <x:v>未公开商务邮箱</x:v>
      </x:c>
      <x:c r="AI20" s="7" t="str">
        <x:v>未找到公开商务邮箱；建议使用官方联系入口：https://111percent.net/en/contact/</x:v>
      </x:c>
    </x:row>
    <x:row r="21">
      <x:c r="A21" s="7" t="str">
        <x:v>JP-020</x:v>
      </x:c>
      <x:c r="B21" s="7" t="str">
        <x:v>A</x:v>
      </x:c>
      <x:c r="C21" s="7" t="n">
        <x:v>20</x:v>
      </x:c>
      <x:c r="D21" s="7" t="str">
        <x:v>KADOKAWA</x:v>
      </x:c>
      <x:c r="E21" s="7" t="str">
        <x:v>Japan</x:v>
      </x:c>
      <x:c r="F21" s="7" t="str">
        <x:v>Tokyo, Japan</x:v>
      </x:c>
      <x:c r="G21" s="7" t="str">
        <x:v>https://group.kadokawa.co.jp/global/</x:v>
      </x:c>
      <x:c r="H21" s="7" t="str">
        <x:v>Public media/IP group with game holdings</x:v>
      </x:c>
      <x:c r="I21" s="7" t="str">
        <x:v>FromSoftware/Spike Chunsoft links; game/IP investment and alliances; anime/media distribution</x:v>
      </x:c>
      <x:c r="J21" s="8" t="n">
        <x:v>18</x:v>
      </x:c>
      <x:c r="K21" s="8" t="n">
        <x:v>16</x:v>
      </x:c>
      <x:c r="L21" s="8" t="n">
        <x:v>12</x:v>
      </x:c>
      <x:c r="M21" s="8" t="n">
        <x:v>14</x:v>
      </x:c>
      <x:c r="N21" s="8" t="n">
        <x:v>6</x:v>
      </x:c>
      <x:c r="O21" s="8" t="n">
        <x:f>SUM(J21:N21)</x:f>
        <x:v>66</x:v>
      </x:c>
      <x:c r="P21" s="7" t="str">
        <x:v>Strategic investment; IP/game partnership; acquisition if IP angle strong</x:v>
      </x:c>
      <x:c r="Q21" s="7" t="str">
        <x:v>Game business; Corporate Strategy; Investment/Alliance</x:v>
      </x:c>
      <x:c r="R21" s="7" t="str">
        <x:v>Corporate inquiry; IR; group contacts</x:v>
      </x:c>
      <x:c r="S21" s="7" t="str">
        <x:v>https://group.kadokawa.co.jp/global/contact/</x:v>
      </x:c>
      <x:c r="T21" s="7" t="str">
        <x:v>Best if pitched as an original world/IP plus mobile live-service system, not just a pure UA play.</x:v>
      </x:c>
      <x:c r="U21" s="7" t="str">
        <x:v>KADOKAWA integrated reports discuss game developer investments and IP/global expansion.</x:v>
      </x:c>
      <x:c r="V21" s="7" t="str">
        <x:v>https://group.kadokawa.co.jp/global/</x:v>
      </x:c>
      <x:c r="W21" s="7" t="str">
        <x:v>https://group.kadokawa.co.jp/ir/library/integrated_report.html</x:v>
      </x:c>
      <x:c r="X21" s="7" t="str">
        <x:v>https://group.kadokawa.co.jp/media/ir/media-download/1851/8394a61e1784306e/</x:v>
      </x:c>
      <x:c r="Y21" s="7" t="n">
        <x:f>COUNTA(V21:X21)</x:f>
        <x:v>3</x:v>
      </x:c>
      <x:c r="Z21" s="7" t="str">
        <x:v>High</x:v>
      </x:c>
      <x:c r="AA21" s="7" t="str">
        <x:v>Use IP-led teaser; ask for game investment/alliance route.</x:v>
      </x:c>
      <x:c r="AB21" s="7" t="str">
        <x:v>Not Started</x:v>
      </x:c>
      <x:c r="AC21" s="7" t="str">
        <x:v>2026-06-02</x:v>
      </x:c>
      <x:c r="AD21" s="7" t="str"/>
      <x:c r="AE21" s="7" t="str"/>
      <x:c r="AF21" s="7" t="str">
        <x:v>大型上市媒体/IP集团；集团年收入数千亿日元级，游戏为内容/IP组合之一。</x:v>
      </x:c>
      <x:c r="AG21" s="7" t="str">
        <x:v>FromSoftware/Spike Chunsoft 相关持股与出版/IP生态；游戏/IP投资合作。</x:v>
      </x:c>
      <x:c r="AH21" s="7" t="str">
        <x:v>未公开商务邮箱</x:v>
      </x:c>
      <x:c r="AI21" s="7" t="str">
        <x:v>未找到公开商务邮箱；建议使用官方联系入口：https://group.kadokawa.co.jp/global/contact/</x:v>
      </x:c>
    </x:row>
    <x:row r="22">
      <x:c r="A22" s="7" t="str">
        <x:v>JP-021</x:v>
      </x:c>
      <x:c r="B22" s="7" t="str">
        <x:v>B</x:v>
      </x:c>
      <x:c r="C22" s="7" t="n">
        <x:v>21</x:v>
      </x:c>
      <x:c r="D22" s="7" t="str">
        <x:v>Square Enix</x:v>
      </x:c>
      <x:c r="E22" s="7" t="str">
        <x:v>Japan</x:v>
      </x:c>
      <x:c r="F22" s="7" t="str">
        <x:v>Tokyo, Japan</x:v>
      </x:c>
      <x:c r="G22" s="7" t="str">
        <x:v>https://www.hd.square-enix.com/eng/</x:v>
      </x:c>
      <x:c r="H22" s="7" t="str">
        <x:v>Public entertainment publisher</x:v>
      </x:c>
      <x:c r="I22" s="7" t="str">
        <x:v>Final Fantasy, Dragon Quest, mobile titles; major IP publishing</x:v>
      </x:c>
      <x:c r="J22" s="8" t="n">
        <x:v>17</x:v>
      </x:c>
      <x:c r="K22" s="8" t="n">
        <x:v>13</x:v>
      </x:c>
      <x:c r="L22" s="8" t="n">
        <x:v>13</x:v>
      </x:c>
      <x:c r="M22" s="8" t="n">
        <x:v>15</x:v>
      </x:c>
      <x:c r="N22" s="8" t="n">
        <x:v>6</x:v>
      </x:c>
      <x:c r="O22" s="8" t="n">
        <x:f>SUM(J22:N22)</x:f>
        <x:v>64</x:v>
      </x:c>
      <x:c r="P22" s="7" t="str">
        <x:v>Publishing; IP collaboration; asset acquisition only if strategic</x:v>
      </x:c>
      <x:c r="Q22" s="7" t="str">
        <x:v>Mobile/Smart Device Business; Corporate Development</x:v>
      </x:c>
      <x:c r="R22" s="7" t="str">
        <x:v>Corporate contact; IR contact; business inquiry</x:v>
      </x:c>
      <x:c r="S22" s="7" t="str">
        <x:v>https://www.hd.square-enix.com/eng/contact/</x:v>
      </x:c>
      <x:c r="T22" s="7" t="str">
        <x:v>Only worth pushing if the game has IP/world-building depth or can complement their mobile portfolio.</x:v>
      </x:c>
      <x:c r="U22" s="7" t="str">
        <x:v>Official reports cover digital entertainment and major IP strategy across platforms including smart devices.</x:v>
      </x:c>
      <x:c r="V22" s="7" t="str">
        <x:v>https://www.hd.square-enix.com/eng/</x:v>
      </x:c>
      <x:c r="W22" s="7" t="str">
        <x:v>https://www.hd.square-enix.com/eng/ir/library/ar.html</x:v>
      </x:c>
      <x:c r="X22" s="7" t="str">
        <x:v>https://www.jp.square-enix.com/</x:v>
      </x:c>
      <x:c r="Y22" s="7" t="n">
        <x:f>COUNTA(V22:X22)</x:f>
        <x:v>3</x:v>
      </x:c>
      <x:c r="Z22" s="7" t="str">
        <x:v>High</x:v>
      </x:c>
      <x:c r="AA22" s="7" t="str">
        <x:v>Send only after adding strong product video and content roadmap.</x:v>
      </x:c>
      <x:c r="AB22" s="7" t="str">
        <x:v>Not Started</x:v>
      </x:c>
      <x:c r="AC22" s="7" t="str">
        <x:v>2026-06-02</x:v>
      </x:c>
      <x:c r="AD22" s="7" t="str"/>
      <x:c r="AE22" s="7" t="str"/>
      <x:c r="AF22" s="7" t="str">
        <x:v>大型上市游戏发行商；集团年收入数千亿日元级。</x:v>
      </x:c>
      <x:c r="AG22" s="7" t="str">
        <x:v>Final Fantasy, Dragon Quest, mobile titles; major IP publishing</x:v>
      </x:c>
      <x:c r="AH22" s="7" t="str">
        <x:v>未公开商务邮箱</x:v>
      </x:c>
      <x:c r="AI22" s="7" t="str">
        <x:v>未找到公开商务邮箱；建议使用官方联系入口：https://www.hd.square-enix.com/eng/contact/</x:v>
      </x:c>
    </x:row>
    <x:row r="23">
      <x:c r="A23" s="7" t="str">
        <x:v>JP-022</x:v>
      </x:c>
      <x:c r="B23" s="7" t="str">
        <x:v>B</x:v>
      </x:c>
      <x:c r="C23" s="7" t="n">
        <x:v>22</x:v>
      </x:c>
      <x:c r="D23" s="7" t="str">
        <x:v>Cygames</x:v>
      </x:c>
      <x:c r="E23" s="7" t="str">
        <x:v>Japan</x:v>
      </x:c>
      <x:c r="F23" s="7" t="str">
        <x:v>Tokyo, Japan</x:v>
      </x:c>
      <x:c r="G23" s="7" t="str">
        <x:v>https://www.cygames.co.jp/en/</x:v>
      </x:c>
      <x:c r="H23" s="7" t="str">
        <x:v>Mobile/console game developer under CyberAgent</x:v>
      </x:c>
      <x:c r="I23" s="7" t="str">
        <x:v>Granblue Fantasy, Uma Musume, Shadowverse; global mobile/PC portfolio</x:v>
      </x:c>
      <x:c r="J23" s="8" t="n">
        <x:v>17</x:v>
      </x:c>
      <x:c r="K23" s="8" t="n">
        <x:v>11</x:v>
      </x:c>
      <x:c r="L23" s="8" t="n">
        <x:v>16</x:v>
      </x:c>
      <x:c r="M23" s="8" t="n">
        <x:v>13</x:v>
      </x:c>
      <x:c r="N23" s="8" t="n">
        <x:v>6</x:v>
      </x:c>
      <x:c r="O23" s="8" t="n">
        <x:f>SUM(J23:N23)</x:f>
        <x:v>63</x:v>
      </x:c>
      <x:c r="P23" s="7" t="str">
        <x:v>Co-development; publishing collaboration; strategic partnership</x:v>
      </x:c>
      <x:c r="Q23" s="7" t="str">
        <x:v>Business Development; Global Business; CyberAgent SGE</x:v>
      </x:c>
      <x:c r="R23" s="7" t="str">
        <x:v>Corporate inquiry; parent-company route</x:v>
      </x:c>
      <x:c r="S23" s="7" t="str">
        <x:v>https://www.cygames.co.jp/en/contact/</x:v>
      </x:c>
      <x:c r="T23" s="7" t="str">
        <x:v>Use only if creative quality/world-building is strong; Cygames is more likely partner than buyer.</x:v>
      </x:c>
      <x:c r="U23" s="7" t="str">
        <x:v>Official company profile lists mobile/console games and CyberAgent relationship.</x:v>
      </x:c>
      <x:c r="V23" s="7" t="str">
        <x:v>https://www.cygames.co.jp/en/corporate/profile/</x:v>
      </x:c>
      <x:c r="W23" s="7" t="str">
        <x:v>https://www.cygames.co.jp/en/games/</x:v>
      </x:c>
      <x:c r="X23" s="7" t="str">
        <x:v>https://report.cyberagent.co.jp/en/game/</x:v>
      </x:c>
      <x:c r="Y23" s="7" t="n">
        <x:f>COUNTA(V23:X23)</x:f>
        <x:v>3</x:v>
      </x:c>
      <x:c r="Z23" s="7" t="str">
        <x:v>High</x:v>
      </x:c>
      <x:c r="AA23" s="7" t="str">
        <x:v>If no direct route, approach CyberAgent SGE first.</x:v>
      </x:c>
      <x:c r="AB23" s="7" t="str">
        <x:v>Not Started</x:v>
      </x:c>
      <x:c r="AC23" s="7" t="str">
        <x:v>2026-06-02</x:v>
      </x:c>
      <x:c r="AD23" s="7" t="str"/>
      <x:c r="AE23" s="7" t="str"/>
      <x:c r="AF23" s="7" t="str">
        <x:v>中小型游戏发行/开发公司；公开资料未披露收入，按约11-200人级工作室处理。</x:v>
      </x:c>
      <x:c r="AG23" s="7" t="str">
        <x:v>Granblue Fantasy, Uma Musume, Shadowverse; global mobile/PC portfolio</x:v>
      </x:c>
      <x:c r="AH23" s="7" t="str">
        <x:v>未公开商务邮箱</x:v>
      </x:c>
      <x:c r="AI23" s="7" t="str">
        <x:v>未找到公开商务邮箱；建议使用官方联系入口：https://www.cygames.co.jp/en/contact/</x:v>
      </x:c>
    </x:row>
    <x:row r="24">
      <x:c r="A24" s="7" t="str">
        <x:v>JP-023</x:v>
      </x:c>
      <x:c r="B24" s="7" t="str">
        <x:v>B</x:v>
      </x:c>
      <x:c r="C24" s="7" t="n">
        <x:v>23</x:v>
      </x:c>
      <x:c r="D24" s="7" t="str">
        <x:v>Konami Digital Entertainment</x:v>
      </x:c>
      <x:c r="E24" s="7" t="str">
        <x:v>Japan</x:v>
      </x:c>
      <x:c r="F24" s="7" t="str">
        <x:v>Tokyo, Japan</x:v>
      </x:c>
      <x:c r="G24" s="7" t="str">
        <x:v>https://www.konami.com/games/corporate/en/</x:v>
      </x:c>
      <x:c r="H24" s="7" t="str">
        <x:v>Public game publisher/developer</x:v>
      </x:c>
      <x:c r="I24" s="7" t="str">
        <x:v>eFootball, Yu-Gi-Oh!, mobile games; global publishing</x:v>
      </x:c>
      <x:c r="J24" s="8" t="n">
        <x:v>16</x:v>
      </x:c>
      <x:c r="K24" s="8" t="n">
        <x:v>13</x:v>
      </x:c>
      <x:c r="L24" s="8" t="n">
        <x:v>13</x:v>
      </x:c>
      <x:c r="M24" s="8" t="n">
        <x:v>15</x:v>
      </x:c>
      <x:c r="N24" s="8" t="n">
        <x:v>6</x:v>
      </x:c>
      <x:c r="O24" s="8" t="n">
        <x:f>SUM(J24:N24)</x:f>
        <x:v>63</x:v>
      </x:c>
      <x:c r="P24" s="7" t="str">
        <x:v>Publishing; co-development; IP partnership</x:v>
      </x:c>
      <x:c r="Q24" s="7" t="str">
        <x:v>Digital Entertainment business; Mobile publishing</x:v>
      </x:c>
      <x:c r="R24" s="7" t="str">
        <x:v>Corporate contact; IR contact</x:v>
      </x:c>
      <x:c r="S24" s="7" t="str">
        <x:v>https://www.konami.com/games/inquiry/</x:v>
      </x:c>
      <x:c r="T24" s="7" t="str">
        <x:v>Pitch if metrics are unusually strong; otherwise lower fit due IP/sports/card focus.</x:v>
      </x:c>
      <x:c r="U24" s="7" t="str">
        <x:v>Official corporate/game sites show mobile and global digital entertainment operations.</x:v>
      </x:c>
      <x:c r="V24" s="7" t="str">
        <x:v>https://www.konami.com/games/corporate/en/</x:v>
      </x:c>
      <x:c r="W24" s="7" t="str">
        <x:v>https://www.konami.com/ir/en/</x:v>
      </x:c>
      <x:c r="X24" s="7" t="str">
        <x:v>https://www.konami.com/games/us/en/</x:v>
      </x:c>
      <x:c r="Y24" s="7" t="n">
        <x:f>COUNTA(V24:X24)</x:f>
        <x:v>3</x:v>
      </x:c>
      <x:c r="Z24" s="7" t="str">
        <x:v>High</x:v>
      </x:c>
      <x:c r="AA24" s="7" t="str">
        <x:v>Approach as opportunistic B/A borderline; keep email concise.</x:v>
      </x:c>
      <x:c r="AB24" s="7" t="str">
        <x:v>Not Started</x:v>
      </x:c>
      <x:c r="AC24" s="7" t="str">
        <x:v>2026-06-02</x:v>
      </x:c>
      <x:c r="AD24" s="7" t="str"/>
      <x:c r="AE24" s="7" t="str"/>
      <x:c r="AF24" s="7" t="str">
        <x:v>Konami Group 数字娱乐主力；集团年收入数千亿日元级。</x:v>
      </x:c>
      <x:c r="AG24" s="7" t="str">
        <x:v>eFootball, Yu-Gi-Oh!, mobile games; global publishing</x:v>
      </x:c>
      <x:c r="AH24" s="7" t="str">
        <x:v>未公开商务邮箱</x:v>
      </x:c>
      <x:c r="AI24" s="7" t="str">
        <x:v>未找到公开商务邮箱；建议使用官方联系入口：https://www.konami.com/games/inquiry/</x:v>
      </x:c>
    </x:row>
    <x:row r="25">
      <x:c r="A25" s="7" t="str">
        <x:v>JP-024</x:v>
      </x:c>
      <x:c r="B25" s="7" t="str">
        <x:v>B</x:v>
      </x:c>
      <x:c r="C25" s="7" t="n">
        <x:v>24</x:v>
      </x:c>
      <x:c r="D25" s="7" t="str">
        <x:v>Akatsuki Games</x:v>
      </x:c>
      <x:c r="E25" s="7" t="str">
        <x:v>Japan</x:v>
      </x:c>
      <x:c r="F25" s="7" t="str">
        <x:v>Tokyo, Japan</x:v>
      </x:c>
      <x:c r="G25" s="7" t="str">
        <x:v>https://aktsk.com/en/games/</x:v>
      </x:c>
      <x:c r="H25" s="7" t="str">
        <x:v>Mobile game developer/publisher</x:v>
      </x:c>
      <x:c r="I25" s="7" t="str">
        <x:v>Dragon Ball Z Dokkan Battle co-development; Tribe Nine; mobile operations</x:v>
      </x:c>
      <x:c r="J25" s="8" t="n">
        <x:v>16</x:v>
      </x:c>
      <x:c r="K25" s="8" t="n">
        <x:v>11</x:v>
      </x:c>
      <x:c r="L25" s="8" t="n">
        <x:v>15</x:v>
      </x:c>
      <x:c r="M25" s="8" t="n">
        <x:v>11</x:v>
      </x:c>
      <x:c r="N25" s="8" t="n">
        <x:v>7</x:v>
      </x:c>
      <x:c r="O25" s="8" t="n">
        <x:f>SUM(J25:N25)</x:f>
        <x:v>60</x:v>
      </x:c>
      <x:c r="P25" s="7" t="str">
        <x:v>Publishing; co-development; strategic partnership</x:v>
      </x:c>
      <x:c r="Q25" s="7" t="str">
        <x:v>Business Development; Game Production</x:v>
      </x:c>
      <x:c r="R25" s="7" t="str">
        <x:v>Corporate contact; Akatsuki group contact</x:v>
      </x:c>
      <x:c r="S25" s="7" t="str">
        <x:v>https://aktsk.com/en/contact/</x:v>
      </x:c>
      <x:c r="T25" s="7" t="str">
        <x:v>Frame as a mobile service project with US proof and potential co-development/LiveOps support.</x:v>
      </x:c>
      <x:c r="U25" s="7" t="str">
        <x:v>Official site lists game portfolio and business focus.</x:v>
      </x:c>
      <x:c r="V25" s="7" t="str">
        <x:v>https://aktsk.com/en/games/</x:v>
      </x:c>
      <x:c r="W25" s="7" t="str">
        <x:v>https://aktsk.com/en/company/</x:v>
      </x:c>
      <x:c r="X25" s="7" t="str">
        <x:v>https://aktsk.jp/en/</x:v>
      </x:c>
      <x:c r="Y25" s="7" t="n">
        <x:f>COUNTA(V25:X25)</x:f>
        <x:v>3</x:v>
      </x:c>
      <x:c r="Z25" s="7" t="str">
        <x:v>High</x:v>
      </x:c>
      <x:c r="AA25" s="7" t="str">
        <x:v>Approach via group contact; keep acquisition ask secondary.</x:v>
      </x:c>
      <x:c r="AB25" s="7" t="str">
        <x:v>Not Started</x:v>
      </x:c>
      <x:c r="AC25" s="7" t="str">
        <x:v>2026-06-02</x:v>
      </x:c>
      <x:c r="AD25" s="7" t="str"/>
      <x:c r="AE25" s="7" t="str"/>
      <x:c r="AF25" s="7" t="str">
        <x:v>中小型游戏发行/开发公司；公开资料未披露收入，按约11-200人级工作室处理。</x:v>
      </x:c>
      <x:c r="AG25" s="7" t="str">
        <x:v>Dragon Ball Z Dokkan Battle co-development; Tribe Nine; mobile operations</x:v>
      </x:c>
      <x:c r="AH25" s="7" t="str">
        <x:v>未公开商务邮箱</x:v>
      </x:c>
      <x:c r="AI25" s="7" t="str">
        <x:v>未找到公开商务邮箱；建议使用官方联系入口：https://aktsk.com/en/contact/</x:v>
      </x:c>
    </x:row>
    <x:row r="26">
      <x:c r="A26" s="7" t="str">
        <x:v>JP-025</x:v>
      </x:c>
      <x:c r="B26" s="7" t="str">
        <x:v>B</x:v>
      </x:c>
      <x:c r="C26" s="7" t="n">
        <x:v>25</x:v>
      </x:c>
      <x:c r="D26" s="7" t="str">
        <x:v>Drecom</x:v>
      </x:c>
      <x:c r="E26" s="7" t="str">
        <x:v>Japan</x:v>
      </x:c>
      <x:c r="F26" s="7" t="str">
        <x:v>Tokyo, Japan</x:v>
      </x:c>
      <x:c r="G26" s="7" t="str">
        <x:v>https://drecom.co.jp/en/</x:v>
      </x:c>
      <x:c r="H26" s="7" t="str">
        <x:v>Public game/media company</x:v>
      </x:c>
      <x:c r="I26" s="7" t="str">
        <x:v>Mobile games, IP/content, Wizardry-related projects</x:v>
      </x:c>
      <x:c r="J26" s="8" t="n">
        <x:v>16</x:v>
      </x:c>
      <x:c r="K26" s="8" t="n">
        <x:v>12</x:v>
      </x:c>
      <x:c r="L26" s="8" t="n">
        <x:v>14</x:v>
      </x:c>
      <x:c r="M26" s="8" t="n">
        <x:v>11</x:v>
      </x:c>
      <x:c r="N26" s="8" t="n">
        <x:v>7</x:v>
      </x:c>
      <x:c r="O26" s="8" t="n">
        <x:f>SUM(J26:N26)</x:f>
        <x:v>60</x:v>
      </x:c>
      <x:c r="P26" s="7" t="str">
        <x:v>Publishing; co-development; investment; asset deal</x:v>
      </x:c>
      <x:c r="Q26" s="7" t="str">
        <x:v>Game business; Business Development</x:v>
      </x:c>
      <x:c r="R26" s="7" t="str">
        <x:v>Corporate inquiry; IR</x:v>
      </x:c>
      <x:c r="S26" s="7" t="str">
        <x:v>https://drecom.co.jp/en/contact/</x:v>
      </x:c>
      <x:c r="T26" s="7" t="str">
        <x:v>Pitch as a mobile F2P production with US evidence and room for IP/content expansion.</x:v>
      </x:c>
      <x:c r="U26" s="7" t="str">
        <x:v>Official pages show game/content business and investor materials.</x:v>
      </x:c>
      <x:c r="V26" s="7" t="str">
        <x:v>https://drecom.co.jp/en/</x:v>
      </x:c>
      <x:c r="W26" s="7" t="str">
        <x:v>https://drecom.co.jp/en/ir/</x:v>
      </x:c>
      <x:c r="X26" s="7" t="str">
        <x:v>https://drecom.co.jp/en/service/</x:v>
      </x:c>
      <x:c r="Y26" s="7" t="n">
        <x:f>COUNTA(V26:X26)</x:f>
        <x:v>3</x:v>
      </x:c>
      <x:c r="Z26" s="7" t="str">
        <x:v>High</x:v>
      </x:c>
      <x:c r="AA26" s="7" t="str">
        <x:v>Approach BD with teaser; ask whether publishing or investment review is appropriate.</x:v>
      </x:c>
      <x:c r="AB26" s="7" t="str">
        <x:v>Not Started</x:v>
      </x:c>
      <x:c r="AC26" s="7" t="str">
        <x:v>2026-06-02</x:v>
      </x:c>
      <x:c r="AD26" s="7" t="str"/>
      <x:c r="AE26" s="7" t="str"/>
      <x:c r="AF26" s="7" t="str">
        <x:v>上市/挂牌游戏公司；未在本轮补充精确收入，按年收入数十亿至数百亿日元/千亿韩元级处理。</x:v>
      </x:c>
      <x:c r="AG26" s="7" t="str">
        <x:v>Mobile games, IP/content, Wizardry-related projects</x:v>
      </x:c>
      <x:c r="AH26" s="7" t="str">
        <x:v>未公开商务邮箱</x:v>
      </x:c>
      <x:c r="AI26" s="7" t="str">
        <x:v>未找到公开商务邮箱；建议使用官方联系入口：https://drecom.co.jp/en/contact/</x:v>
      </x:c>
    </x:row>
    <x:row r="27">
      <x:c r="A27" s="7" t="str">
        <x:v>JP-026</x:v>
      </x:c>
      <x:c r="B27" s="7" t="str">
        <x:v>B</x:v>
      </x:c>
      <x:c r="C27" s="7" t="n">
        <x:v>26</x:v>
      </x:c>
      <x:c r="D27" s="7" t="str">
        <x:v>SEGA</x:v>
      </x:c>
      <x:c r="E27" s="7" t="str">
        <x:v>Japan</x:v>
      </x:c>
      <x:c r="F27" s="7" t="str">
        <x:v>Tokyo, Japan</x:v>
      </x:c>
      <x:c r="G27" s="7" t="str">
        <x:v>https://www.sega.co.jp/en/</x:v>
      </x:c>
      <x:c r="H27" s="7" t="str">
        <x:v>Public game publisher/developer within SEGA SAMMY</x:v>
      </x:c>
      <x:c r="I27" s="7" t="str">
        <x:v>Sonic, Persona publishing via Atlus, mobile/F2P portfolio</x:v>
      </x:c>
      <x:c r="J27" s="8" t="n">
        <x:v>15</x:v>
      </x:c>
      <x:c r="K27" s="8" t="n">
        <x:v>12</x:v>
      </x:c>
      <x:c r="L27" s="8" t="n">
        <x:v>12</x:v>
      </x:c>
      <x:c r="M27" s="8" t="n">
        <x:v>15</x:v>
      </x:c>
      <x:c r="N27" s="8" t="n">
        <x:v>6</x:v>
      </x:c>
      <x:c r="O27" s="8" t="n">
        <x:f>SUM(J27:N27)</x:f>
        <x:v>60</x:v>
      </x:c>
      <x:c r="P27" s="7" t="str">
        <x:v>Publishing; strategic partnership; acquisition only if scale/fit exceptional</x:v>
      </x:c>
      <x:c r="Q27" s="7" t="str">
        <x:v>Global Publishing; Mobile/F2P; Corporate Development</x:v>
      </x:c>
      <x:c r="R27" s="7" t="str">
        <x:v>Corporate inquiry and IR contact</x:v>
      </x:c>
      <x:c r="S27" s="7" t="str">
        <x:v>https://www.sega.co.jp/en/contact/</x:v>
      </x:c>
      <x:c r="T27" s="7" t="str">
        <x:v>Approach as long-shot strategic publisher; highlight US performance and fit with global live-service ambitions.</x:v>
      </x:c>
      <x:c r="U27" s="7" t="str">
        <x:v>Official corporate/IR materials cover games and global entertainment strategy.</x:v>
      </x:c>
      <x:c r="V27" s="7" t="str">
        <x:v>https://www.sega.co.jp/en/</x:v>
      </x:c>
      <x:c r="W27" s="7" t="str">
        <x:v>https://www.segasammy.co.jp/en/ir/</x:v>
      </x:c>
      <x:c r="X27" s="7" t="str">
        <x:v>https://www.sega.co.jp/en/release/</x:v>
      </x:c>
      <x:c r="Y27" s="7" t="n">
        <x:f>COUNTA(V27:X27)</x:f>
        <x:v>3</x:v>
      </x:c>
      <x:c r="Z27" s="7" t="str">
        <x:v>High</x:v>
      </x:c>
      <x:c r="AA27" s="7" t="str">
        <x:v>Treat as B-tier unless warm intro exists.</x:v>
      </x:c>
      <x:c r="AB27" s="7" t="str">
        <x:v>Not Started</x:v>
      </x:c>
      <x:c r="AC27" s="7" t="str">
        <x:v>2026-06-02</x:v>
      </x:c>
      <x:c r="AD27" s="7" t="str"/>
      <x:c r="AE27" s="7" t="str"/>
      <x:c r="AF27" s="7" t="str">
        <x:v>SEGA SAMMY 旗下游戏主力；集团年收入数千亿日元级。</x:v>
      </x:c>
      <x:c r="AG27" s="7" t="str">
        <x:v>Sonic, Persona publishing via Atlus, mobile/F2P portfolio</x:v>
      </x:c>
      <x:c r="AH27" s="7" t="str">
        <x:v>未公开商务邮箱</x:v>
      </x:c>
      <x:c r="AI27" s="7" t="str">
        <x:v>未找到公开商务邮箱；建议使用官方联系入口：https://www.sega.co.jp/en/contact/</x:v>
      </x:c>
    </x:row>
    <x:row r="28">
      <x:c r="A28" s="7" t="str">
        <x:v>JP-027</x:v>
      </x:c>
      <x:c r="B28" s="7" t="str">
        <x:v>B</x:v>
      </x:c>
      <x:c r="C28" s="7" t="n">
        <x:v>27</x:v>
      </x:c>
      <x:c r="D28" s="7" t="str">
        <x:v>Marvelous</x:v>
      </x:c>
      <x:c r="E28" s="7" t="str">
        <x:v>Japan</x:v>
      </x:c>
      <x:c r="F28" s="7" t="str">
        <x:v>Tokyo, Japan</x:v>
      </x:c>
      <x:c r="G28" s="7" t="str">
        <x:v>https://corp.marv.jp/english/</x:v>
      </x:c>
      <x:c r="H28" s="7" t="str">
        <x:v>Public entertainment/game publisher</x:v>
      </x:c>
      <x:c r="I28" s="7" t="str">
        <x:v>Story of Seasons, Rune Factory, mobile/console games</x:v>
      </x:c>
      <x:c r="J28" s="8" t="n">
        <x:v>15</x:v>
      </x:c>
      <x:c r="K28" s="8" t="n">
        <x:v>11</x:v>
      </x:c>
      <x:c r="L28" s="8" t="n">
        <x:v>13</x:v>
      </x:c>
      <x:c r="M28" s="8" t="n">
        <x:v>12</x:v>
      </x:c>
      <x:c r="N28" s="8" t="n">
        <x:v>7</x:v>
      </x:c>
      <x:c r="O28" s="8" t="n">
        <x:f>SUM(J28:N28)</x:f>
        <x:v>58</x:v>
      </x:c>
      <x:c r="P28" s="7" t="str">
        <x:v>Publishing; co-development; IP partnership; MG</x:v>
      </x:c>
      <x:c r="Q28" s="7" t="str">
        <x:v>Game Business; Global Publishing</x:v>
      </x:c>
      <x:c r="R28" s="7" t="str">
        <x:v>Corporate inquiry; IR contact</x:v>
      </x:c>
      <x:c r="S28" s="7" t="str">
        <x:v>https://corp.marv.jp/english/contact/</x:v>
      </x:c>
      <x:c r="T28" s="7" t="str">
        <x:v>Interesting because cozy/farming adjacency exists; pitch as mobile casual adventure, not hardcore gacha.</x:v>
      </x:c>
      <x:c r="U28" s="7" t="str">
        <x:v>Official site shows game business and global releases.</x:v>
      </x:c>
      <x:c r="V28" s="7" t="str">
        <x:v>https://corp.marv.jp/english/</x:v>
      </x:c>
      <x:c r="W28" s="7" t="str">
        <x:v>https://corp.marv.jp/english/business/</x:v>
      </x:c>
      <x:c r="X28" s="7" t="str">
        <x:v>https://corp.marv.jp/english/ir/</x:v>
      </x:c>
      <x:c r="Y28" s="7" t="n">
        <x:f>COUNTA(V28:X28)</x:f>
        <x:v>3</x:v>
      </x:c>
      <x:c r="Z28" s="7" t="str">
        <x:v>High</x:v>
      </x:c>
      <x:c r="AA28" s="7" t="str">
        <x:v>Use cozy/farming similarity angle; send gameplay-first email.</x:v>
      </x:c>
      <x:c r="AB28" s="7" t="str">
        <x:v>Not Started</x:v>
      </x:c>
      <x:c r="AC28" s="7" t="str">
        <x:v>2026-06-02</x:v>
      </x:c>
      <x:c r="AD28" s="7" t="str"/>
      <x:c r="AE28" s="7" t="str"/>
      <x:c r="AF28" s="7" t="str">
        <x:v>上市/挂牌游戏公司；未在本轮补充精确收入，按年收入数十亿至数百亿日元/千亿韩元级处理。</x:v>
      </x:c>
      <x:c r="AG28" s="7" t="str">
        <x:v>Story of Seasons, Rune Factory, mobile/console games</x:v>
      </x:c>
      <x:c r="AH28" s="7" t="str">
        <x:v>未公开商务邮箱</x:v>
      </x:c>
      <x:c r="AI28" s="7" t="str">
        <x:v>未找到公开商务邮箱；建议使用官方联系入口：https://corp.marv.jp/english/contact/</x:v>
      </x:c>
    </x:row>
    <x:row r="29">
      <x:c r="A29" s="7" t="str">
        <x:v>KR-028</x:v>
      </x:c>
      <x:c r="B29" s="7" t="str">
        <x:v>B</x:v>
      </x:c>
      <x:c r="C29" s="7" t="n">
        <x:v>28</x:v>
      </x:c>
      <x:c r="D29" s="7" t="str">
        <x:v>CookApps</x:v>
      </x:c>
      <x:c r="E29" s="7" t="str">
        <x:v>Korea</x:v>
      </x:c>
      <x:c r="F29" s="7" t="str">
        <x:v>Seongnam, Korea</x:v>
      </x:c>
      <x:c r="G29" s="7" t="str">
        <x:v>https://cookapps.com/</x:v>
      </x:c>
      <x:c r="H29" s="7" t="str">
        <x:v>Casual/mobile game developer/publisher</x:v>
      </x:c>
      <x:c r="I29" s="7" t="str">
        <x:v>Merge Manor, My Home; casual puzzle/merge mobile portfolio</x:v>
      </x:c>
      <x:c r="J29" s="8" t="n">
        <x:v>15</x:v>
      </x:c>
      <x:c r="K29" s="8" t="n">
        <x:v>8</x:v>
      </x:c>
      <x:c r="L29" s="8" t="n">
        <x:v>19</x:v>
      </x:c>
      <x:c r="M29" s="8" t="n">
        <x:v>9</x:v>
      </x:c>
      <x:c r="N29" s="8" t="n">
        <x:v>7</x:v>
      </x:c>
      <x:c r="O29" s="8" t="n">
        <x:f>SUM(J29:N29)</x:f>
        <x:v>58</x:v>
      </x:c>
      <x:c r="P29" s="7" t="str">
        <x:v>Publishing; UA collaboration; acquisition-light partnership</x:v>
      </x:c>
      <x:c r="Q29" s="7" t="str">
        <x:v>Publishing; Business Development</x:v>
      </x:c>
      <x:c r="R29" s="7" t="str">
        <x:v>Official contact; LinkedIn</x:v>
      </x:c>
      <x:c r="S29" s="7" t="str">
        <x:v>https://cookapps.com/contact</x:v>
      </x:c>
      <x:c r="T29" s="7" t="str">
        <x:v>Strong casual/merge adjacency; likely practical feedback even if not a large buyer.</x:v>
      </x:c>
      <x:c r="U29" s="7" t="str">
        <x:v>Official site shows casual mobile portfolio and studio/company profile.</x:v>
      </x:c>
      <x:c r="V29" s="7" t="str">
        <x:v>https://cookapps.com/</x:v>
      </x:c>
      <x:c r="W29" s="7" t="str">
        <x:v>https://cookapps.com/games</x:v>
      </x:c>
      <x:c r="X29" s="7" t="str">
        <x:v>https://www.linkedin.com/company/cookapps/</x:v>
      </x:c>
      <x:c r="Y29" s="7" t="n">
        <x:f>COUNTA(V29:X29)</x:f>
        <x:v>3</x:v>
      </x:c>
      <x:c r="Z29" s="7" t="str">
        <x:v>Medium</x:v>
      </x:c>
      <x:c r="AA29" s="7" t="str">
        <x:v>B wave; lead with Family Island/merge-sim metrics.</x:v>
      </x:c>
      <x:c r="AB29" s="7" t="str">
        <x:v>Not Started</x:v>
      </x:c>
      <x:c r="AC29" s="7" t="str">
        <x:v>2026-06-02</x:v>
      </x:c>
      <x:c r="AD29" s="7" t="str"/>
      <x:c r="AE29" s="7" t="str"/>
      <x:c r="AF29" s="7" t="str">
        <x:v>中小型休闲手游公司；公开公司资料常见规模约51-200人级。</x:v>
      </x:c>
      <x:c r="AG29" s="7" t="str">
        <x:v>Merge Manor, My Home; casual puzzle/merge mobile portfolio</x:v>
      </x:c>
      <x:c r="AH29" s="7" t="str">
        <x:v>socialclub@cookapps.com</x:v>
      </x:c>
      <x:c r="AI29" s="7" t="str">
        <x:v>官网公开邮箱；另有 recruit@，不建议用于BD。</x:v>
      </x:c>
    </x:row>
    <x:row r="30">
      <x:c r="A30" s="7" t="str">
        <x:v>KR-029</x:v>
      </x:c>
      <x:c r="B30" s="7" t="str">
        <x:v>B</x:v>
      </x:c>
      <x:c r="C30" s="7" t="n">
        <x:v>29</x:v>
      </x:c>
      <x:c r="D30" s="7" t="str">
        <x:v>HAEGIN</x:v>
      </x:c>
      <x:c r="E30" s="7" t="str">
        <x:v>Korea</x:v>
      </x:c>
      <x:c r="F30" s="7" t="str">
        <x:v>Seoul, Korea</x:v>
      </x:c>
      <x:c r="G30" s="7" t="str">
        <x:v>https://haegin.kr/</x:v>
      </x:c>
      <x:c r="H30" s="7" t="str">
        <x:v>Mobile game developer/publisher</x:v>
      </x:c>
      <x:c r="I30" s="7" t="str">
        <x:v>Play Together, Homerun Clash, casual/social mobile games</x:v>
      </x:c>
      <x:c r="J30" s="8" t="n">
        <x:v>15</x:v>
      </x:c>
      <x:c r="K30" s="8" t="n">
        <x:v>9</x:v>
      </x:c>
      <x:c r="L30" s="8" t="n">
        <x:v>17</x:v>
      </x:c>
      <x:c r="M30" s="8" t="n">
        <x:v>10</x:v>
      </x:c>
      <x:c r="N30" s="8" t="n">
        <x:v>7</x:v>
      </x:c>
      <x:c r="O30" s="8" t="n">
        <x:f>SUM(J30:N30)</x:f>
        <x:v>58</x:v>
      </x:c>
      <x:c r="P30" s="7" t="str">
        <x:v>Publishing; strategic collaboration; investment if strategic</x:v>
      </x:c>
      <x:c r="Q30" s="7" t="str">
        <x:v>Business Development; Publishing</x:v>
      </x:c>
      <x:c r="R30" s="7" t="str">
        <x:v>Official contact; LinkedIn</x:v>
      </x:c>
      <x:c r="S30" s="7" t="str">
        <x:v>https://haegin.kr/contact</x:v>
      </x:c>
      <x:c r="T30" s="7" t="str">
        <x:v>Strong audience/genre adjacency through casual social mobile; likely partner rather than acquirer.</x:v>
      </x:c>
      <x:c r="U30" s="7" t="str">
        <x:v>Official site lists casual/social mobile portfolio.</x:v>
      </x:c>
      <x:c r="V30" s="7" t="str">
        <x:v>https://haegin.kr/</x:v>
      </x:c>
      <x:c r="W30" s="7" t="str">
        <x:v>https://haegin.kr/games</x:v>
      </x:c>
      <x:c r="X30" s="7" t="str">
        <x:v>https://www.linkedin.com/company/haegin/</x:v>
      </x:c>
      <x:c r="Y30" s="7" t="n">
        <x:f>COUNTA(V30:X30)</x:f>
        <x:v>3</x:v>
      </x:c>
      <x:c r="Z30" s="7" t="str">
        <x:v>Medium</x:v>
      </x:c>
      <x:c r="AA30" s="7" t="str">
        <x:v>B wave; lead with genre/audience overlap and US metrics.</x:v>
      </x:c>
      <x:c r="AB30" s="7" t="str">
        <x:v>Not Started</x:v>
      </x:c>
      <x:c r="AC30" s="7" t="str">
        <x:v>2026-06-02</x:v>
      </x:c>
      <x:c r="AD30" s="7" t="str"/>
      <x:c r="AE30" s="7" t="str"/>
      <x:c r="AF30" s="7" t="str">
        <x:v>中小型游戏发行/开发公司；公开资料未披露收入，按约11-200人级工作室处理。</x:v>
      </x:c>
      <x:c r="AG30" s="7" t="str">
        <x:v>Play Together, Homerun Clash, casual/social mobile games</x:v>
      </x:c>
      <x:c r="AH30" s="7" t="str">
        <x:v>biz@haegin.kr</x:v>
      </x:c>
      <x:c r="AI30" s="7" t="str">
        <x:v>官网公开 biz 邮箱。</x:v>
      </x:c>
    </x:row>
    <x:row r="31">
      <x:c r="A31" s="7" t="str">
        <x:v>KR-030</x:v>
      </x:c>
      <x:c r="B31" s="7" t="str">
        <x:v>B</x:v>
      </x:c>
      <x:c r="C31" s="7" t="n">
        <x:v>30</x:v>
      </x:c>
      <x:c r="D31" s="7" t="str">
        <x:v>Nexon Korea / Nexon</x:v>
      </x:c>
      <x:c r="E31" s="7" t="str">
        <x:v>Korea</x:v>
      </x:c>
      <x:c r="F31" s="7" t="str">
        <x:v>Seongnam/Tokyo, Korea/Japan</x:v>
      </x:c>
      <x:c r="G31" s="7" t="str">
        <x:v>https://www.nexon.com/</x:v>
      </x:c>
      <x:c r="H31" s="7" t="str">
        <x:v>Public global game publisher</x:v>
      </x:c>
      <x:c r="I31" s="7" t="str">
        <x:v>MapleStory, Dungeon&amp;Fighter, mobile/PC portfolio; global investments/acquisitions</x:v>
      </x:c>
      <x:c r="J31" s="8" t="n">
        <x:v>14</x:v>
      </x:c>
      <x:c r="K31" s="8" t="n">
        <x:v>14</x:v>
      </x:c>
      <x:c r="L31" s="8" t="n">
        <x:v>10</x:v>
      </x:c>
      <x:c r="M31" s="8" t="n">
        <x:v>15</x:v>
      </x:c>
      <x:c r="N31" s="8" t="n">
        <x:v>5</x:v>
      </x:c>
      <x:c r="O31" s="8" t="n">
        <x:f>SUM(J31:N31)</x:f>
        <x:v>58</x:v>
      </x:c>
      <x:c r="P31" s="7" t="str">
        <x:v>Strategic investment; acquisition; publishing</x:v>
      </x:c>
      <x:c r="Q31" s="7" t="str">
        <x:v>Corporate Development; New Games; Mobile Publishing</x:v>
      </x:c>
      <x:c r="R31" s="7" t="str">
        <x:v>Corporate/IR contact; LinkedIn</x:v>
      </x:c>
      <x:c r="S31" s="7" t="str">
        <x:v>https://ir.nexon.co.jp/en/</x:v>
      </x:c>
      <x:c r="T31" s="7" t="str">
        <x:v>Fit is mostly strategic diversification; needs exceptional KPI proof.</x:v>
      </x:c>
      <x:c r="U31" s="7" t="str">
        <x:v>Official IR/company pages show global portfolio, M&amp;A and IP focus.</x:v>
      </x:c>
      <x:c r="V31" s="7" t="str">
        <x:v>https://www.nexon.com/</x:v>
      </x:c>
      <x:c r="W31" s="7" t="str">
        <x:v>https://ir.nexon.co.jp/en/</x:v>
      </x:c>
      <x:c r="X31" s="7" t="str">
        <x:v>https://www.nexon.com/main/en/game</x:v>
      </x:c>
      <x:c r="Y31" s="7" t="n">
        <x:f>COUNTA(V31:X31)</x:f>
        <x:v>3</x:v>
      </x:c>
      <x:c r="Z31" s="7" t="str">
        <x:v>High</x:v>
      </x:c>
      <x:c r="AA31" s="7" t="str">
        <x:v>Approach only with warm intro or after stronger casual-first buyers.</x:v>
      </x:c>
      <x:c r="AB31" s="7" t="str">
        <x:v>Not Started</x:v>
      </x:c>
      <x:c r="AC31" s="7" t="str">
        <x:v>2026-06-02</x:v>
      </x:c>
      <x:c r="AD31" s="7" t="str"/>
      <x:c r="AE31" s="7" t="str"/>
      <x:c r="AF31" s="7" t="str">
        <x:v>全球大型上市游戏公司；年收入数千亿日元级，员工数千人级。</x:v>
      </x:c>
      <x:c r="AG31" s="7" t="str">
        <x:v>MapleStory, Dungeon&amp;Fighter, mobile/PC portfolio; global investments/acquisitions</x:v>
      </x:c>
      <x:c r="AH31" s="7" t="str">
        <x:v>未公开商务邮箱</x:v>
      </x:c>
      <x:c r="AI31" s="7" t="str">
        <x:v>未找到公开商务邮箱；建议使用官方联系入口：https://ir.nexon.co.jp/en/</x:v>
      </x:c>
    </x:row>
    <x:row r="32">
      <x:c r="A32" s="7" t="str">
        <x:v>JP-031</x:v>
      </x:c>
      <x:c r="B32" s="7" t="str">
        <x:v>B</x:v>
      </x:c>
      <x:c r="C32" s="7" t="n">
        <x:v>31</x:v>
      </x:c>
      <x:c r="D32" s="7" t="str">
        <x:v>Aniplex</x:v>
      </x:c>
      <x:c r="E32" s="7" t="str">
        <x:v>Japan</x:v>
      </x:c>
      <x:c r="F32" s="7" t="str">
        <x:v>Tokyo, Japan</x:v>
      </x:c>
      <x:c r="G32" s="7" t="str">
        <x:v>https://www.aniplex.co.jp/eng/</x:v>
      </x:c>
      <x:c r="H32" s="7" t="str">
        <x:v>Sony Music anime/game publisher</x:v>
      </x:c>
      <x:c r="I32" s="7" t="str">
        <x:v>Fate/Grand Order, Disney Twisted-Wonderland, anime IP mobile games</x:v>
      </x:c>
      <x:c r="J32" s="8" t="n">
        <x:v>15</x:v>
      </x:c>
      <x:c r="K32" s="8" t="n">
        <x:v>10</x:v>
      </x:c>
      <x:c r="L32" s="8" t="n">
        <x:v>13</x:v>
      </x:c>
      <x:c r="M32" s="8" t="n">
        <x:v>13</x:v>
      </x:c>
      <x:c r="N32" s="8" t="n">
        <x:v>6</x:v>
      </x:c>
      <x:c r="O32" s="8" t="n">
        <x:f>SUM(J32:N32)</x:f>
        <x:v>57</x:v>
      </x:c>
      <x:c r="P32" s="7" t="str">
        <x:v>IP partnership; publishing; co-development</x:v>
      </x:c>
      <x:c r="Q32" s="7" t="str">
        <x:v>Game business; IP licensing; Production</x:v>
      </x:c>
      <x:c r="R32" s="7" t="str">
        <x:v>Corporate inquiry; Sony/Aniplex contact</x:v>
      </x:c>
      <x:c r="S32" s="7" t="str">
        <x:v>https://www.aniplex.co.jp/eng/contact/</x:v>
      </x:c>
      <x:c r="T32" s="7" t="str">
        <x:v>Use if the game has character/IP roadmap; otherwise not a pure casual buyer.</x:v>
      </x:c>
      <x:c r="U32" s="7" t="str">
        <x:v>Official site lists games and anime IP; FGO/Twisted-Wonderland demonstrate mobile publishing capability.</x:v>
      </x:c>
      <x:c r="V32" s="7" t="str">
        <x:v>https://www.aniplex.co.jp/eng/</x:v>
      </x:c>
      <x:c r="W32" s="7" t="str">
        <x:v>https://www.aniplex.co.jp/eng/game.html</x:v>
      </x:c>
      <x:c r="X32" s="7" t="str">
        <x:v>https://www.sonymusic.co.jp/eng/</x:v>
      </x:c>
      <x:c r="Y32" s="7" t="n">
        <x:f>COUNTA(V32:X32)</x:f>
        <x:v>3</x:v>
      </x:c>
      <x:c r="Z32" s="7" t="str">
        <x:v>High</x:v>
      </x:c>
      <x:c r="AA32" s="7" t="str">
        <x:v>Send later unless deck emphasizes characters/world.</x:v>
      </x:c>
      <x:c r="AB32" s="7" t="str">
        <x:v>Not Started</x:v>
      </x:c>
      <x:c r="AC32" s="7" t="str">
        <x:v>2026-06-02</x:v>
      </x:c>
      <x:c r="AD32" s="7" t="str"/>
      <x:c r="AE32" s="7" t="str"/>
      <x:c r="AF32" s="7" t="str">
        <x:v>中小型游戏发行/开发公司；公开资料未披露收入，按约11-200人级工作室处理。</x:v>
      </x:c>
      <x:c r="AG32" s="7" t="str">
        <x:v>Fate/Grand Order, Disney Twisted-Wonderland, anime IP mobile games</x:v>
      </x:c>
      <x:c r="AH32" s="7" t="str">
        <x:v>未公开商务邮箱</x:v>
      </x:c>
      <x:c r="AI32" s="7" t="str">
        <x:v>未找到公开商务邮箱；建议使用官方联系入口：https://www.aniplex.co.jp/eng/contact/</x:v>
      </x:c>
    </x:row>
    <x:row r="33">
      <x:c r="A33" s="7" t="str">
        <x:v>KR-032</x:v>
      </x:c>
      <x:c r="B33" s="7" t="str">
        <x:v>B</x:v>
      </x:c>
      <x:c r="C33" s="7" t="n">
        <x:v>32</x:v>
      </x:c>
      <x:c r="D33" s="7" t="str">
        <x:v>Devsisters</x:v>
      </x:c>
      <x:c r="E33" s="7" t="str">
        <x:v>Korea</x:v>
      </x:c>
      <x:c r="F33" s="7" t="str">
        <x:v>Seoul, Korea</x:v>
      </x:c>
      <x:c r="G33" s="7" t="str">
        <x:v>https://www.devsisters.com/en</x:v>
      </x:c>
      <x:c r="H33" s="7" t="str">
        <x:v>Public mobile game developer/publisher</x:v>
      </x:c>
      <x:c r="I33" s="7" t="str">
        <x:v>CookieRun franchise; global mobile live-service and IP business</x:v>
      </x:c>
      <x:c r="J33" s="8" t="n">
        <x:v>14</x:v>
      </x:c>
      <x:c r="K33" s="8" t="n">
        <x:v>10</x:v>
      </x:c>
      <x:c r="L33" s="8" t="n">
        <x:v>14</x:v>
      </x:c>
      <x:c r="M33" s="8" t="n">
        <x:v>12</x:v>
      </x:c>
      <x:c r="N33" s="8" t="n">
        <x:v>7</x:v>
      </x:c>
      <x:c r="O33" s="8" t="n">
        <x:f>SUM(J33:N33)</x:f>
        <x:v>57</x:v>
      </x:c>
      <x:c r="P33" s="7" t="str">
        <x:v>Publishing; strategic partnership; IP collaboration</x:v>
      </x:c>
      <x:c r="Q33" s="7" t="str">
        <x:v>Global Business; Publishing; Corporate Strategy</x:v>
      </x:c>
      <x:c r="R33" s="7" t="str">
        <x:v>Corporate inquiry; IR</x:v>
      </x:c>
      <x:c r="S33" s="7" t="str">
        <x:v>https://www.devsisters.com/en/contact</x:v>
      </x:c>
      <x:c r="T33" s="7" t="str">
        <x:v>Pitch as casual F2P team with US proof; buyer fit depends on portfolio diversification appetite.</x:v>
      </x:c>
      <x:c r="U33" s="7" t="str">
        <x:v>Official site lists CookieRun franchise, global business and investor/company info.</x:v>
      </x:c>
      <x:c r="V33" s="7" t="str">
        <x:v>https://www.devsisters.com/en</x:v>
      </x:c>
      <x:c r="W33" s="7" t="str">
        <x:v>https://www.devsisters.com/en/games</x:v>
      </x:c>
      <x:c r="X33" s="7" t="str">
        <x:v>https://www.devsisters.com/en/ir</x:v>
      </x:c>
      <x:c r="Y33" s="7" t="n">
        <x:f>COUNTA(V33:X33)</x:f>
        <x:v>3</x:v>
      </x:c>
      <x:c r="Z33" s="7" t="str">
        <x:v>High</x:v>
      </x:c>
      <x:c r="AA33" s="7" t="str">
        <x:v>B wave; use casual audience fit.</x:v>
      </x:c>
      <x:c r="AB33" s="7" t="str">
        <x:v>Not Started</x:v>
      </x:c>
      <x:c r="AC33" s="7" t="str">
        <x:v>2026-06-02</x:v>
      </x:c>
      <x:c r="AD33" s="7" t="str"/>
      <x:c r="AE33" s="7" t="str"/>
      <x:c r="AF33" s="7" t="str">
        <x:v>上市移动游戏/IP公司；CookieRun 系列全球化，年收入千亿韩元级。</x:v>
      </x:c>
      <x:c r="AG33" s="7" t="str">
        <x:v>CookieRun franchise; global mobile live-service and IP business</x:v>
      </x:c>
      <x:c r="AH33" s="7" t="str">
        <x:v>biz@devsisters.com; bplan@devsisters.com; pr@devsisters.com; ir@devsisters.com</x:v>
      </x:c>
      <x:c r="AI33" s="7" t="str">
        <x:v>官网 Contact 页面公开业务/事业/PR/IR邮箱；BD优先 biz@ 或 bplan@。</x:v>
      </x:c>
    </x:row>
    <x:row r="34">
      <x:c r="A34" s="7" t="str">
        <x:v>KR-033</x:v>
      </x:c>
      <x:c r="B34" s="7" t="str">
        <x:v>B</x:v>
      </x:c>
      <x:c r="C34" s="7" t="n">
        <x:v>33</x:v>
      </x:c>
      <x:c r="D34" s="7" t="str">
        <x:v>Wemade Play</x:v>
      </x:c>
      <x:c r="E34" s="7" t="str">
        <x:v>Korea</x:v>
      </x:c>
      <x:c r="F34" s="7" t="str">
        <x:v>Seongnam, Korea</x:v>
      </x:c>
      <x:c r="G34" s="7" t="str">
        <x:v>https://www.wemadeplay.com/</x:v>
      </x:c>
      <x:c r="H34" s="7" t="str">
        <x:v>Casual/mobile game publisher under Wemade group</x:v>
      </x:c>
      <x:c r="I34" s="7" t="str">
        <x:v>Anipang franchise; casual puzzle/mobile portfolio</x:v>
      </x:c>
      <x:c r="J34" s="8" t="n">
        <x:v>15</x:v>
      </x:c>
      <x:c r="K34" s="8" t="n">
        <x:v>9</x:v>
      </x:c>
      <x:c r="L34" s="8" t="n">
        <x:v>17</x:v>
      </x:c>
      <x:c r="M34" s="8" t="n">
        <x:v>9</x:v>
      </x:c>
      <x:c r="N34" s="8" t="n">
        <x:v>7</x:v>
      </x:c>
      <x:c r="O34" s="8" t="n">
        <x:f>SUM(J34:N34)</x:f>
        <x:v>57</x:v>
      </x:c>
      <x:c r="P34" s="7" t="str">
        <x:v>Publishing; co-development; strategic partnership</x:v>
      </x:c>
      <x:c r="Q34" s="7" t="str">
        <x:v>Casual game business; BD</x:v>
      </x:c>
      <x:c r="R34" s="7" t="str">
        <x:v>Corporate contact; parent route</x:v>
      </x:c>
      <x:c r="S34" s="7" t="str">
        <x:v>https://www.wemadeplay.com/</x:v>
      </x:c>
      <x:c r="T34" s="7" t="str">
        <x:v>Casual-game fit is good; investment capacity likely smaller than parent.</x:v>
      </x:c>
      <x:c r="U34" s="7" t="str">
        <x:v>Official site lists Anipang/casual mobile portfolio and company details.</x:v>
      </x:c>
      <x:c r="V34" s="7" t="str">
        <x:v>https://www.wemadeplay.com/</x:v>
      </x:c>
      <x:c r="W34" s="7" t="str">
        <x:v>https://www.wemadeplay.com/game</x:v>
      </x:c>
      <x:c r="X34" s="7" t="str">
        <x:v>https://www.wemade.com/en</x:v>
      </x:c>
      <x:c r="Y34" s="7" t="n">
        <x:f>COUNTA(V34:X34)</x:f>
        <x:v>3</x:v>
      </x:c>
      <x:c r="Z34" s="7" t="str">
        <x:v>Medium</x:v>
      </x:c>
      <x:c r="AA34" s="7" t="str">
        <x:v>B wave; frame as casual expansion partner.</x:v>
      </x:c>
      <x:c r="AB34" s="7" t="str">
        <x:v>Not Started</x:v>
      </x:c>
      <x:c r="AC34" s="7" t="str">
        <x:v>2026-06-02</x:v>
      </x:c>
      <x:c r="AD34" s="7" t="str"/>
      <x:c r="AE34" s="7" t="str"/>
      <x:c r="AF34" s="7" t="str">
        <x:v>中小型休闲手游公司；公开公司资料常见规模约51-200人级。</x:v>
      </x:c>
      <x:c r="AG34" s="7" t="str">
        <x:v>Anipang franchise; casual puzzle/mobile portfolio</x:v>
      </x:c>
      <x:c r="AH34" s="7" t="str">
        <x:v>contact@wemade.com; ir@wemade.com</x:v>
      </x:c>
      <x:c r="AI34" s="7" t="str">
        <x:v>母公司 Wemade 官网公开邮箱；建议备注转 Wemade Play/casual team。</x:v>
      </x:c>
    </x:row>
    <x:row r="35">
      <x:c r="A35" s="7" t="str">
        <x:v>JP-034</x:v>
      </x:c>
      <x:c r="B35" s="7" t="str">
        <x:v>B</x:v>
      </x:c>
      <x:c r="C35" s="7" t="n">
        <x:v>34</x:v>
      </x:c>
      <x:c r="D35" s="7" t="str">
        <x:v>Koei Tecmo Games</x:v>
      </x:c>
      <x:c r="E35" s="7" t="str">
        <x:v>Japan</x:v>
      </x:c>
      <x:c r="F35" s="7" t="str">
        <x:v>Yokohama, Japan</x:v>
      </x:c>
      <x:c r="G35" s="7" t="str">
        <x:v>https://www.koeitecmo.co.jp/e/</x:v>
      </x:c>
      <x:c r="H35" s="7" t="str">
        <x:v>Public game publisher/developer</x:v>
      </x:c>
      <x:c r="I35" s="7" t="str">
        <x:v>Romance of the Three Kingdoms, Atelier, mobile adaptations</x:v>
      </x:c>
      <x:c r="J35" s="8" t="n">
        <x:v>14</x:v>
      </x:c>
      <x:c r="K35" s="8" t="n">
        <x:v>11</x:v>
      </x:c>
      <x:c r="L35" s="8" t="n">
        <x:v>12</x:v>
      </x:c>
      <x:c r="M35" s="8" t="n">
        <x:v>13</x:v>
      </x:c>
      <x:c r="N35" s="8" t="n">
        <x:v>6</x:v>
      </x:c>
      <x:c r="O35" s="8" t="n">
        <x:f>SUM(J35:N35)</x:f>
        <x:v>56</x:v>
      </x:c>
      <x:c r="P35" s="7" t="str">
        <x:v>Publishing; co-development; IP partnership</x:v>
      </x:c>
      <x:c r="Q35" s="7" t="str">
        <x:v>Global Business; Mobile/Game Production</x:v>
      </x:c>
      <x:c r="R35" s="7" t="str">
        <x:v>Corporate contact; IR</x:v>
      </x:c>
      <x:c r="S35" s="7" t="str">
        <x:v>https://www.koeitecmo.co.jp/e/contact/</x:v>
      </x:c>
      <x:c r="T35" s="7" t="str">
        <x:v>Only if product can be localized with strong character/world progression hooks.</x:v>
      </x:c>
      <x:c r="U35" s="7" t="str">
        <x:v>Official site and IR confirm game publishing/development and global sales.</x:v>
      </x:c>
      <x:c r="V35" s="7" t="str">
        <x:v>https://www.koeitecmo.co.jp/e/</x:v>
      </x:c>
      <x:c r="W35" s="7" t="str">
        <x:v>https://www.koeitecmo.co.jp/e/ir/</x:v>
      </x:c>
      <x:c r="X35" s="7" t="str">
        <x:v>https://www.koeitecmoamerica.com/</x:v>
      </x:c>
      <x:c r="Y35" s="7" t="n">
        <x:f>COUNTA(V35:X35)</x:f>
        <x:v>3</x:v>
      </x:c>
      <x:c r="Z35" s="7" t="str">
        <x:v>High</x:v>
      </x:c>
      <x:c r="AA35" s="7" t="str">
        <x:v>Send after A-list; keep ask to publishing review.</x:v>
      </x:c>
      <x:c r="AB35" s="7" t="str">
        <x:v>Not Started</x:v>
      </x:c>
      <x:c r="AC35" s="7" t="str">
        <x:v>2026-06-02</x:v>
      </x:c>
      <x:c r="AD35" s="7" t="str"/>
      <x:c r="AE35" s="7" t="str"/>
      <x:c r="AF35" s="7" t="str">
        <x:v>上市游戏集团核心子公司；集团年收入数百亿日元级。</x:v>
      </x:c>
      <x:c r="AG35" s="7" t="str">
        <x:v>Romance of the Three Kingdoms, Atelier, mobile adaptations</x:v>
      </x:c>
      <x:c r="AH35" s="7" t="str">
        <x:v>未公开商务邮箱</x:v>
      </x:c>
      <x:c r="AI35" s="7" t="str">
        <x:v>未找到公开商务邮箱；建议使用官方联系入口：https://www.koeitecmo.co.jp/e/contact/</x:v>
      </x:c>
    </x:row>
    <x:row r="36">
      <x:c r="A36" s="7" t="str">
        <x:v>JP-035</x:v>
      </x:c>
      <x:c r="B36" s="7" t="str">
        <x:v>B</x:v>
      </x:c>
      <x:c r="C36" s="7" t="n">
        <x:v>35</x:v>
      </x:c>
      <x:c r="D36" s="7" t="str">
        <x:v>Bushiroad</x:v>
      </x:c>
      <x:c r="E36" s="7" t="str">
        <x:v>Japan</x:v>
      </x:c>
      <x:c r="F36" s="7" t="str">
        <x:v>Tokyo, Japan</x:v>
      </x:c>
      <x:c r="G36" s="7" t="str">
        <x:v>https://bushiroad.co.jp/en/</x:v>
      </x:c>
      <x:c r="H36" s="7" t="str">
        <x:v>Public IP/card/mobile game company</x:v>
      </x:c>
      <x:c r="I36" s="7" t="str">
        <x:v>BanG Dream!, D4DJ, card games, mobile games</x:v>
      </x:c>
      <x:c r="J36" s="8" t="n">
        <x:v>14</x:v>
      </x:c>
      <x:c r="K36" s="8" t="n">
        <x:v>10</x:v>
      </x:c>
      <x:c r="L36" s="8" t="n">
        <x:v>13</x:v>
      </x:c>
      <x:c r="M36" s="8" t="n">
        <x:v>11</x:v>
      </x:c>
      <x:c r="N36" s="8" t="n">
        <x:v>7</x:v>
      </x:c>
      <x:c r="O36" s="8" t="n">
        <x:f>SUM(J36:N36)</x:f>
        <x:v>55</x:v>
      </x:c>
      <x:c r="P36" s="7" t="str">
        <x:v>Publishing; IP partnership; co-development</x:v>
      </x:c>
      <x:c r="Q36" s="7" t="str">
        <x:v>Game business; IP/content business</x:v>
      </x:c>
      <x:c r="R36" s="7" t="str">
        <x:v>Corporate inquiry; IR</x:v>
      </x:c>
      <x:c r="S36" s="7" t="str">
        <x:v>https://bushiroad.co.jp/en/contact/</x:v>
      </x:c>
      <x:c r="T36" s="7" t="str">
        <x:v>Better fit if game can support character/content expansion or Japan operation.</x:v>
      </x:c>
      <x:c r="U36" s="7" t="str">
        <x:v>Official site lists game, IP, and mobile entertainment businesses.</x:v>
      </x:c>
      <x:c r="V36" s="7" t="str">
        <x:v>https://bushiroad.co.jp/en/</x:v>
      </x:c>
      <x:c r="W36" s="7" t="str">
        <x:v>https://bushiroad.co.jp/en/company/</x:v>
      </x:c>
      <x:c r="X36" s="7" t="str">
        <x:v>https://bushiroad.co.jp/en/ir/</x:v>
      </x:c>
      <x:c r="Y36" s="7" t="n">
        <x:f>COUNTA(V36:X36)</x:f>
        <x:v>3</x:v>
      </x:c>
      <x:c r="Z36" s="7" t="str">
        <x:v>High</x:v>
      </x:c>
      <x:c r="AA36" s="7" t="str">
        <x:v>Approach as B-tier Japan/IP publisher.</x:v>
      </x:c>
      <x:c r="AB36" s="7" t="str">
        <x:v>Not Started</x:v>
      </x:c>
      <x:c r="AC36" s="7" t="str">
        <x:v>2026-06-02</x:v>
      </x:c>
      <x:c r="AD36" s="7" t="str"/>
      <x:c r="AE36" s="7" t="str"/>
      <x:c r="AF36" s="7" t="str">
        <x:v>上市/挂牌游戏公司；未在本轮补充精确收入，按年收入数十亿至数百亿日元/千亿韩元级处理。</x:v>
      </x:c>
      <x:c r="AG36" s="7" t="str">
        <x:v>BanG Dream!, D4DJ, card games, mobile games</x:v>
      </x:c>
      <x:c r="AH36" s="7" t="str">
        <x:v>ir@bushiroad.com; support@bushiroad.com</x:v>
      </x:c>
      <x:c r="AI36" s="7" t="str">
        <x:v>英文 Contact 页面公开 IR/support 邮箱；非发行BD专属，建议邮件请求转给游戏业务/投资合作负责人。</x:v>
      </x:c>
    </x:row>
    <x:row r="37">
      <x:c r="A37" s="7" t="str">
        <x:v>JP-036</x:v>
      </x:c>
      <x:c r="B37" s="7" t="str">
        <x:v>B</x:v>
      </x:c>
      <x:c r="C37" s="7" t="n">
        <x:v>36</x:v>
      </x:c>
      <x:c r="D37" s="7" t="str">
        <x:v>Capcom</x:v>
      </x:c>
      <x:c r="E37" s="7" t="str">
        <x:v>Japan</x:v>
      </x:c>
      <x:c r="F37" s="7" t="str">
        <x:v>Osaka, Japan</x:v>
      </x:c>
      <x:c r="G37" s="7" t="str">
        <x:v>https://www.capcom.co.jp/ir/english/</x:v>
      </x:c>
      <x:c r="H37" s="7" t="str">
        <x:v>Public game publisher/developer</x:v>
      </x:c>
      <x:c r="I37" s="7" t="str">
        <x:v>Monster Hunter, Resident Evil, mobile licensing/collaboration</x:v>
      </x:c>
      <x:c r="J37" s="8" t="n">
        <x:v>14</x:v>
      </x:c>
      <x:c r="K37" s="8" t="n">
        <x:v>10</x:v>
      </x:c>
      <x:c r="L37" s="8" t="n">
        <x:v>11</x:v>
      </x:c>
      <x:c r="M37" s="8" t="n">
        <x:v>15</x:v>
      </x:c>
      <x:c r="N37" s="8" t="n">
        <x:v>5</x:v>
      </x:c>
      <x:c r="O37" s="8" t="n">
        <x:f>SUM(J37:N37)</x:f>
        <x:v>55</x:v>
      </x:c>
      <x:c r="P37" s="7" t="str">
        <x:v>IP collaboration; publishing; strategic partnership</x:v>
      </x:c>
      <x:c r="Q37" s="7" t="str">
        <x:v>Mobile/licensing; Corporate Planning</x:v>
      </x:c>
      <x:c r="R37" s="7" t="str">
        <x:v>Corporate inquiry; IR</x:v>
      </x:c>
      <x:c r="S37" s="7" t="str">
        <x:v>https://www.capcom-games.com/en-us/contact/</x:v>
      </x:c>
      <x:c r="T37" s="7" t="str">
        <x:v>Low direct buyer fit unless there is IP/collaboration potential; use as opportunistic target.</x:v>
      </x:c>
      <x:c r="U37" s="7" t="str">
        <x:v>Official IR and product sites cover global game portfolio and mobile titles/licensing.</x:v>
      </x:c>
      <x:c r="V37" s="7" t="str">
        <x:v>https://www.capcom.co.jp/ir/english/</x:v>
      </x:c>
      <x:c r="W37" s="7" t="str">
        <x:v>https://www.capcom-games.com/en-us/</x:v>
      </x:c>
      <x:c r="X37" s="7" t="str">
        <x:v>https://www.capcom.co.jp/ir/english/business/mobile.html</x:v>
      </x:c>
      <x:c r="Y37" s="7" t="n">
        <x:f>COUNTA(V37:X37)</x:f>
        <x:v>3</x:v>
      </x:c>
      <x:c r="Z37" s="7" t="str">
        <x:v>High</x:v>
      </x:c>
      <x:c r="AA37" s="7" t="str">
        <x:v>Only pursue with warm intro or strong reason.</x:v>
      </x:c>
      <x:c r="AB37" s="7" t="str">
        <x:v>Not Started</x:v>
      </x:c>
      <x:c r="AC37" s="7" t="str">
        <x:v>2026-06-02</x:v>
      </x:c>
      <x:c r="AD37" s="7" t="str"/>
      <x:c r="AE37" s="7" t="str"/>
      <x:c r="AF37" s="7" t="str">
        <x:v>大型上市游戏公司；年收入千亿日元级，高利润全球发行商。</x:v>
      </x:c>
      <x:c r="AG37" s="7" t="str">
        <x:v>Monster Hunter, Resident Evil, mobile licensing/collaboration</x:v>
      </x:c>
      <x:c r="AH37" s="7" t="str">
        <x:v>未公开商务邮箱</x:v>
      </x:c>
      <x:c r="AI37" s="7" t="str">
        <x:v>未找到公开商务邮箱；建议使用官方联系入口：https://www.capcom-games.com/en-us/contact/</x:v>
      </x:c>
    </x:row>
    <x:row r="38">
      <x:c r="A38" s="7" t="str">
        <x:v>KR-037</x:v>
      </x:c>
      <x:c r="B38" s="7" t="str">
        <x:v>B</x:v>
      </x:c>
      <x:c r="C38" s="7" t="n">
        <x:v>37</x:v>
      </x:c>
      <x:c r="D38" s="7" t="str">
        <x:v>BitMango</x:v>
      </x:c>
      <x:c r="E38" s="7" t="str">
        <x:v>Korea</x:v>
      </x:c>
      <x:c r="F38" s="7" t="str">
        <x:v>Seongnam, Korea</x:v>
      </x:c>
      <x:c r="G38" s="7" t="str">
        <x:v>https://www.bitmango.com/</x:v>
      </x:c>
      <x:c r="H38" s="7" t="str">
        <x:v>Mobile casual puzzle publisher/developer</x:v>
      </x:c>
      <x:c r="I38" s="7" t="str">
        <x:v>Word Cookies, Roll the Ball; casual puzzle portfolio</x:v>
      </x:c>
      <x:c r="J38" s="8" t="n">
        <x:v>14</x:v>
      </x:c>
      <x:c r="K38" s="8" t="n">
        <x:v>7</x:v>
      </x:c>
      <x:c r="L38" s="8" t="n">
        <x:v>18</x:v>
      </x:c>
      <x:c r="M38" s="8" t="n">
        <x:v>9</x:v>
      </x:c>
      <x:c r="N38" s="8" t="n">
        <x:v>7</x:v>
      </x:c>
      <x:c r="O38" s="8" t="n">
        <x:f>SUM(J38:N38)</x:f>
        <x:v>55</x:v>
      </x:c>
      <x:c r="P38" s="7" t="str">
        <x:v>Publishing; UA/test partnership; revenue share</x:v>
      </x:c>
      <x:c r="Q38" s="7" t="str">
        <x:v>Publishing; Developer Relations</x:v>
      </x:c>
      <x:c r="R38" s="7" t="str">
        <x:v>Official contact; LinkedIn</x:v>
      </x:c>
      <x:c r="S38" s="7" t="str">
        <x:v>https://www.bitmango.com/contact</x:v>
      </x:c>
      <x:c r="T38" s="7" t="str">
        <x:v>Good casual mobile operator; less likely strategic acquisition but useful as publisher/operator.</x:v>
      </x:c>
      <x:c r="U38" s="7" t="str">
        <x:v>Official site lists casual mobile game portfolio.</x:v>
      </x:c>
      <x:c r="V38" s="7" t="str">
        <x:v>https://www.bitmango.com/</x:v>
      </x:c>
      <x:c r="W38" s="7" t="str">
        <x:v>https://www.bitmango.com/games</x:v>
      </x:c>
      <x:c r="X38" s="7" t="str">
        <x:v>https://www.linkedin.com/company/bitmango/</x:v>
      </x:c>
      <x:c r="Y38" s="7" t="n">
        <x:f>COUNTA(V38:X38)</x:f>
        <x:v>3</x:v>
      </x:c>
      <x:c r="Z38" s="7" t="str">
        <x:v>Medium</x:v>
      </x:c>
      <x:c r="AA38" s="7" t="str">
        <x:v>B/C wave; ask for publishing and UA support.</x:v>
      </x:c>
      <x:c r="AB38" s="7" t="str">
        <x:v>Not Started</x:v>
      </x:c>
      <x:c r="AC38" s="7" t="str">
        <x:v>2026-06-02</x:v>
      </x:c>
      <x:c r="AD38" s="7" t="str"/>
      <x:c r="AE38" s="7" t="str"/>
      <x:c r="AF38" s="7" t="str">
        <x:v>中小型休闲手游公司；公开公司资料常见规模约51-200人级。</x:v>
      </x:c>
      <x:c r="AG38" s="7" t="str">
        <x:v>Word Cookies, Roll the Ball; casual puzzle portfolio</x:v>
      </x:c>
      <x:c r="AH38" s="7" t="str">
        <x:v>未公开商务邮箱</x:v>
      </x:c>
      <x:c r="AI38" s="7" t="str">
        <x:v>未找到公开商务邮箱；建议使用官方联系入口：https://www.bitmango.com/contact</x:v>
      </x:c>
    </x:row>
    <x:row r="39">
      <x:c r="A39" s="7" t="str">
        <x:v>KR-038</x:v>
      </x:c>
      <x:c r="B39" s="7" t="str">
        <x:v>B</x:v>
      </x:c>
      <x:c r="C39" s="7" t="n">
        <x:v>38</x:v>
      </x:c>
      <x:c r="D39" s="7" t="str">
        <x:v>NHN</x:v>
      </x:c>
      <x:c r="E39" s="7" t="str">
        <x:v>Korea</x:v>
      </x:c>
      <x:c r="F39" s="7" t="str">
        <x:v>Seongnam, Korea</x:v>
      </x:c>
      <x:c r="G39" s="7" t="str">
        <x:v>https://www.nhn.com/en</x:v>
      </x:c>
      <x:c r="H39" s="7" t="str">
        <x:v>Public internet/game company</x:v>
      </x:c>
      <x:c r="I39" s="7" t="str">
        <x:v>Hangame, mobile/PC game services; NHN PlayArt Japan</x:v>
      </x:c>
      <x:c r="J39" s="8" t="n">
        <x:v>14</x:v>
      </x:c>
      <x:c r="K39" s="8" t="n">
        <x:v>10</x:v>
      </x:c>
      <x:c r="L39" s="8" t="n">
        <x:v>12</x:v>
      </x:c>
      <x:c r="M39" s="8" t="n">
        <x:v>12</x:v>
      </x:c>
      <x:c r="N39" s="8" t="n">
        <x:v>7</x:v>
      </x:c>
      <x:c r="O39" s="8" t="n">
        <x:f>SUM(J39:N39)</x:f>
        <x:v>55</x:v>
      </x:c>
      <x:c r="P39" s="7" t="str">
        <x:v>Publishing; Japan/Korea operation; strategic partnership</x:v>
      </x:c>
      <x:c r="Q39" s="7" t="str">
        <x:v>Game business; Global business</x:v>
      </x:c>
      <x:c r="R39" s="7" t="str">
        <x:v>Corporate contact; IR</x:v>
      </x:c>
      <x:c r="S39" s="7" t="str">
        <x:v>https://www.nhn.com/en/contact</x:v>
      </x:c>
      <x:c r="T39" s="7" t="str">
        <x:v>Potential regional publishing/operator for Korea/Japan with platform capabilities.</x:v>
      </x:c>
      <x:c r="U39" s="7" t="str">
        <x:v>Official site covers game business and global subsidiaries.</x:v>
      </x:c>
      <x:c r="V39" s="7" t="str">
        <x:v>https://www.nhn.com/en</x:v>
      </x:c>
      <x:c r="W39" s="7" t="str">
        <x:v>https://www.nhn.com/en/business/game</x:v>
      </x:c>
      <x:c r="X39" s="7" t="str">
        <x:v>https://www.nhn.com/en/ir</x:v>
      </x:c>
      <x:c r="Y39" s="7" t="n">
        <x:f>COUNTA(V39:X39)</x:f>
        <x:v>3</x:v>
      </x:c>
      <x:c r="Z39" s="7" t="str">
        <x:v>High</x:v>
      </x:c>
      <x:c r="AA39" s="7" t="str">
        <x:v>B wave; ask for game business review.</x:v>
      </x:c>
      <x:c r="AB39" s="7" t="str">
        <x:v>Not Started</x:v>
      </x:c>
      <x:c r="AC39" s="7" t="str">
        <x:v>2026-06-02</x:v>
      </x:c>
      <x:c r="AD39" s="7" t="str"/>
      <x:c r="AE39" s="7" t="str"/>
      <x:c r="AF39" s="7" t="str">
        <x:v>上市互联网/游戏集团；集团年收入万亿韩元级，游戏为业务板块之一。</x:v>
      </x:c>
      <x:c r="AG39" s="7" t="str">
        <x:v>Hangame, mobile/PC game services; NHN PlayArt Japan</x:v>
      </x:c>
      <x:c r="AH39" s="7" t="str">
        <x:v>未公开商务邮箱</x:v>
      </x:c>
      <x:c r="AI39" s="7" t="str">
        <x:v>未找到公开商务邮箱；建议使用官方联系入口：https://www.nhn.com/en/contact</x:v>
      </x:c>
    </x:row>
    <x:row r="40">
      <x:c r="A40" s="7" t="str">
        <x:v>KR-039</x:v>
      </x:c>
      <x:c r="B40" s="7" t="str">
        <x:v>B</x:v>
      </x:c>
      <x:c r="C40" s="7" t="n">
        <x:v>39</x:v>
      </x:c>
      <x:c r="D40" s="7" t="str">
        <x:v>Springcomes</x:v>
      </x:c>
      <x:c r="E40" s="7" t="str">
        <x:v>Korea</x:v>
      </x:c>
      <x:c r="F40" s="7" t="str">
        <x:v>Seoul, Korea</x:v>
      </x:c>
      <x:c r="G40" s="7" t="str">
        <x:v>https://springcomes.com/</x:v>
      </x:c>
      <x:c r="H40" s="7" t="str">
        <x:v>Mobile casual game studio</x:v>
      </x:c>
      <x:c r="I40" s="7" t="str">
        <x:v>Merge and casual titles; acquired/targeted in NC casual ecosystem</x:v>
      </x:c>
      <x:c r="J40" s="8" t="n">
        <x:v>14</x:v>
      </x:c>
      <x:c r="K40" s="8" t="n">
        <x:v>8</x:v>
      </x:c>
      <x:c r="L40" s="8" t="n">
        <x:v>18</x:v>
      </x:c>
      <x:c r="M40" s="8" t="n">
        <x:v>8</x:v>
      </x:c>
      <x:c r="N40" s="8" t="n">
        <x:v>6</x:v>
      </x:c>
      <x:c r="O40" s="8" t="n">
        <x:f>SUM(J40:N40)</x:f>
        <x:v>54</x:v>
      </x:c>
      <x:c r="P40" s="7" t="str">
        <x:v>Partner intro; publishing via parent/NC; peer benchmark</x:v>
      </x:c>
      <x:c r="Q40" s="7" t="str">
        <x:v>Business Development; parent ecosystem</x:v>
      </x:c>
      <x:c r="R40" s="7" t="str">
        <x:v>Official contact; NC route</x:v>
      </x:c>
      <x:c r="S40" s="7" t="str">
        <x:v>https://springcomes.com/</x:v>
      </x:c>
      <x:c r="T40" s="7" t="str">
        <x:v>Not a standalone buyer if ownership changed, but useful for NC casual ecosystem mapping.</x:v>
      </x:c>
      <x:c r="U40" s="7" t="str">
        <x:v>Official site lists casual mobile titles; NC official release names Springcomes as mobile casual studio.</x:v>
      </x:c>
      <x:c r="V40" s="7" t="str">
        <x:v>https://springcomes.com/</x:v>
      </x:c>
      <x:c r="W40" s="7" t="str">
        <x:v>https://about.ncsoft.com/en/news/article/news_update_251222</x:v>
      </x:c>
      <x:c r="X40" s="7" t="str">
        <x:v>https://about.ncsoft.com/en/news/article/news_update_260312</x:v>
      </x:c>
      <x:c r="Y40" s="7" t="n">
        <x:f>COUNTA(V40:X40)</x:f>
        <x:v>3</x:v>
      </x:c>
      <x:c r="Z40" s="7" t="str">
        <x:v>Medium</x:v>
      </x:c>
      <x:c r="AA40" s="7" t="str">
        <x:v>Do not cold pitch separately if targeting NCSOFT; use as evidence for NC fit.</x:v>
      </x:c>
      <x:c r="AB40" s="7" t="str">
        <x:v>Not Started</x:v>
      </x:c>
      <x:c r="AC40" s="7" t="str">
        <x:v>2026-06-02</x:v>
      </x:c>
      <x:c r="AD40" s="7" t="str"/>
      <x:c r="AE40" s="7" t="str"/>
      <x:c r="AF40" s="7" t="str">
        <x:v>中小型休闲手游公司；公开公司资料常见规模约51-200人级。</x:v>
      </x:c>
      <x:c r="AG40" s="7" t="str">
        <x:v>Merge and casual titles; acquired/targeted in NC casual ecosystem</x:v>
      </x:c>
      <x:c r="AH40" s="7" t="str">
        <x:v>未公开商务邮箱</x:v>
      </x:c>
      <x:c r="AI40" s="7" t="str">
        <x:v>未找到公开商务邮箱；建议使用官方联系入口：https://springcomes.com/</x:v>
      </x:c>
    </x:row>
    <x:row r="41">
      <x:c r="A41" s="7" t="str">
        <x:v>JP-040</x:v>
      </x:c>
      <x:c r="B41" s="7" t="str">
        <x:v>B</x:v>
      </x:c>
      <x:c r="C41" s="7" t="n">
        <x:v>40</x:v>
      </x:c>
      <x:c r="D41" s="7" t="str">
        <x:v>Happy Elements K.K.</x:v>
      </x:c>
      <x:c r="E41" s="7" t="str">
        <x:v>Japan</x:v>
      </x:c>
      <x:c r="F41" s="7" t="str">
        <x:v>Kyoto/Tokyo, Japan</x:v>
      </x:c>
      <x:c r="G41" s="7" t="str">
        <x:v>https://www.happyelements.co.jp/en/</x:v>
      </x:c>
      <x:c r="H41" s="7" t="str">
        <x:v>Mobile game developer/publisher</x:v>
      </x:c>
      <x:c r="I41" s="7" t="str">
        <x:v>Ensemble Stars!!, Merc Storia; Japan mobile live service</x:v>
      </x:c>
      <x:c r="J41" s="8" t="n">
        <x:v>14</x:v>
      </x:c>
      <x:c r="K41" s="8" t="n">
        <x:v>9</x:v>
      </x:c>
      <x:c r="L41" s="8" t="n">
        <x:v>14</x:v>
      </x:c>
      <x:c r="M41" s="8" t="n">
        <x:v>10</x:v>
      </x:c>
      <x:c r="N41" s="8" t="n">
        <x:v>6</x:v>
      </x:c>
      <x:c r="O41" s="8" t="n">
        <x:f>SUM(J41:N41)</x:f>
        <x:v>53</x:v>
      </x:c>
      <x:c r="P41" s="7" t="str">
        <x:v>Publishing; co-development; Japan operation</x:v>
      </x:c>
      <x:c r="Q41" s="7" t="str">
        <x:v>Business Development; Game Production</x:v>
      </x:c>
      <x:c r="R41" s="7" t="str">
        <x:v>Corporate contact; LinkedIn</x:v>
      </x:c>
      <x:c r="S41" s="7" t="str">
        <x:v>https://www.happyelements.co.jp/en/contact/</x:v>
      </x:c>
      <x:c r="T41" s="7" t="str">
        <x:v>Pitch only if looking for Japan operation or live-service expertise, not acquisition first.</x:v>
      </x:c>
      <x:c r="U41" s="7" t="str">
        <x:v>Official site lists mobile game portfolio and company profile.</x:v>
      </x:c>
      <x:c r="V41" s="7" t="str">
        <x:v>https://www.happyelements.co.jp/en/</x:v>
      </x:c>
      <x:c r="W41" s="7" t="str">
        <x:v>https://www.happyelements.co.jp/en/games/</x:v>
      </x:c>
      <x:c r="X41" s="7" t="str">
        <x:v>https://www.linkedin.com/company/happy-elements-k-k-/</x:v>
      </x:c>
      <x:c r="Y41" s="7" t="n">
        <x:f>COUNTA(V41:X41)</x:f>
        <x:v>3</x:v>
      </x:c>
      <x:c r="Z41" s="7" t="str">
        <x:v>Medium</x:v>
      </x:c>
      <x:c r="AA41" s="7" t="str">
        <x:v>Use after A/B top batch; direct BD/contact form.</x:v>
      </x:c>
      <x:c r="AB41" s="7" t="str">
        <x:v>Not Started</x:v>
      </x:c>
      <x:c r="AC41" s="7" t="str">
        <x:v>2026-06-02</x:v>
      </x:c>
      <x:c r="AD41" s="7" t="str"/>
      <x:c r="AE41" s="7" t="str"/>
      <x:c r="AF41" s="7" t="str">
        <x:v>中小型游戏发行/开发公司；公开资料未披露收入，按约11-200人级工作室处理。</x:v>
      </x:c>
      <x:c r="AG41" s="7" t="str">
        <x:v>Ensemble Stars!!, Merc Storia; Japan mobile live service</x:v>
      </x:c>
      <x:c r="AH41" s="7" t="str">
        <x:v>未公开商务邮箱</x:v>
      </x:c>
      <x:c r="AI41" s="7" t="str">
        <x:v>未找到公开商务邮箱；建议使用官方联系入口：https://www.happyelements.co.jp/en/contact/</x:v>
      </x:c>
    </x:row>
    <x:row r="42">
      <x:c r="A42" s="7" t="str">
        <x:v>JP-041</x:v>
      </x:c>
      <x:c r="B42" s="7" t="str">
        <x:v>B</x:v>
      </x:c>
      <x:c r="C42" s="7" t="n">
        <x:v>41</x:v>
      </x:c>
      <x:c r="D42" s="7" t="str">
        <x:v>Nintendo</x:v>
      </x:c>
      <x:c r="E42" s="7" t="str">
        <x:v>Japan</x:v>
      </x:c>
      <x:c r="F42" s="7" t="str">
        <x:v>Kyoto, Japan</x:v>
      </x:c>
      <x:c r="G42" s="7" t="str">
        <x:v>https://www.nintendo.co.jp/corporate/en/</x:v>
      </x:c>
      <x:c r="H42" s="7" t="str">
        <x:v>Public platform/IP owner and publisher</x:v>
      </x:c>
      <x:c r="I42" s="7" t="str">
        <x:v>Nintendo mobile collaborations; Animal Crossing/Pikmin/Fire Emblem mobile history</x:v>
      </x:c>
      <x:c r="J42" s="8" t="n">
        <x:v>13</x:v>
      </x:c>
      <x:c r="K42" s="8" t="n">
        <x:v>9</x:v>
      </x:c>
      <x:c r="L42" s="8" t="n">
        <x:v>12</x:v>
      </x:c>
      <x:c r="M42" s="8" t="n">
        <x:v>15</x:v>
      </x:c>
      <x:c r="N42" s="8" t="n">
        <x:v>4</x:v>
      </x:c>
      <x:c r="O42" s="8" t="n">
        <x:f>SUM(J42:N42)</x:f>
        <x:v>53</x:v>
      </x:c>
      <x:c r="P42" s="7" t="str">
        <x:v>Strategic partnership; unlikely acquisition/publishing</x:v>
      </x:c>
      <x:c r="Q42" s="7" t="str">
        <x:v>Mobile/IP partnership; Business Development</x:v>
      </x:c>
      <x:c r="R42" s="7" t="str">
        <x:v>Corporate contact; investor relations</x:v>
      </x:c>
      <x:c r="S42" s="7" t="str">
        <x:v>https://www.nintendo.co.jp/corporate/en/contact/index.html</x:v>
      </x:c>
      <x:c r="T42" s="7" t="str">
        <x:v>Very low-probability; relevant only if the team has exceptional cozy simulation IP/design proof.</x:v>
      </x:c>
      <x:c r="U42" s="7" t="str">
        <x:v>Official corporate materials cover mobile/IP strategy but external publishing appetite is limited.</x:v>
      </x:c>
      <x:c r="V42" s="7" t="str">
        <x:v>https://www.nintendo.co.jp/corporate/en/</x:v>
      </x:c>
      <x:c r="W42" s="7" t="str">
        <x:v>https://www.nintendo.co.jp/ir/en/</x:v>
      </x:c>
      <x:c r="X42" s="7" t="str">
        <x:v>https://www.nintendo.com/us/store/mobile-games/</x:v>
      </x:c>
      <x:c r="Y42" s="7" t="n">
        <x:f>COUNTA(V42:X42)</x:f>
        <x:v>3</x:v>
      </x:c>
      <x:c r="Z42" s="7" t="str">
        <x:v>High</x:v>
      </x:c>
      <x:c r="AA42" s="7" t="str">
        <x:v>Do not include in first cold batch unless a warm intro exists.</x:v>
      </x:c>
      <x:c r="AB42" s="7" t="str">
        <x:v>Not Started</x:v>
      </x:c>
      <x:c r="AC42" s="7" t="str">
        <x:v>2026-06-02</x:v>
      </x:c>
      <x:c r="AD42" s="7" t="str"/>
      <x:c r="AE42" s="7" t="str"/>
      <x:c r="AF42" s="7" t="str">
        <x:v>全球头部上市游戏/IP公司；年收入万亿日元级，员工数数千人级。</x:v>
      </x:c>
      <x:c r="AG42" s="7" t="str">
        <x:v>Nintendo mobile collaborations; Animal Crossing/Pikmin/Fire Emblem mobile history</x:v>
      </x:c>
      <x:c r="AH42" s="7" t="str">
        <x:v>未公开商务邮箱</x:v>
      </x:c>
      <x:c r="AI42" s="7" t="str">
        <x:v>未找到公开商务邮箱；建议使用官方联系入口：https://www.nintendo.co.jp/corporate/en/contact/index.html</x:v>
      </x:c>
    </x:row>
    <x:row r="43">
      <x:c r="A43" s="7" t="str">
        <x:v>KR-042</x:v>
      </x:c>
      <x:c r="B43" s="7" t="str">
        <x:v>B</x:v>
      </x:c>
      <x:c r="C43" s="7" t="n">
        <x:v>42</x:v>
      </x:c>
      <x:c r="D43" s="7" t="str">
        <x:v>Gravity</x:v>
      </x:c>
      <x:c r="E43" s="7" t="str">
        <x:v>Korea</x:v>
      </x:c>
      <x:c r="F43" s="7" t="str">
        <x:v>Seoul, Korea</x:v>
      </x:c>
      <x:c r="G43" s="7" t="str">
        <x:v>https://www.gravity.co.kr/en</x:v>
      </x:c>
      <x:c r="H43" s="7" t="str">
        <x:v>Public game publisher/developer</x:v>
      </x:c>
      <x:c r="I43" s="7" t="str">
        <x:v>Ragnarok IP mobile/PC global publishing; regional operations</x:v>
      </x:c>
      <x:c r="J43" s="8" t="n">
        <x:v>13</x:v>
      </x:c>
      <x:c r="K43" s="8" t="n">
        <x:v>10</x:v>
      </x:c>
      <x:c r="L43" s="8" t="n">
        <x:v>11</x:v>
      </x:c>
      <x:c r="M43" s="8" t="n">
        <x:v>12</x:v>
      </x:c>
      <x:c r="N43" s="8" t="n">
        <x:v>7</x:v>
      </x:c>
      <x:c r="O43" s="8" t="n">
        <x:f>SUM(J43:N43)</x:f>
        <x:v>53</x:v>
      </x:c>
      <x:c r="P43" s="7" t="str">
        <x:v>Publishing; regional launch; IP/game partnership</x:v>
      </x:c>
      <x:c r="Q43" s="7" t="str">
        <x:v>Global business; Publishing</x:v>
      </x:c>
      <x:c r="R43" s="7" t="str">
        <x:v>Corporate contact; IR</x:v>
      </x:c>
      <x:c r="S43" s="7" t="str">
        <x:v>https://www.gravity.co.kr/en/company/contact.asp</x:v>
      </x:c>
      <x:c r="T43" s="7" t="str">
        <x:v>A regional publishing candidate, not first-choice investor.</x:v>
      </x:c>
      <x:c r="U43" s="7" t="str">
        <x:v>Official site lists global game business and Ragnarok mobile/PC portfolio.</x:v>
      </x:c>
      <x:c r="V43" s="7" t="str">
        <x:v>https://www.gravity.co.kr/en</x:v>
      </x:c>
      <x:c r="W43" s="7" t="str">
        <x:v>https://www.gravity.co.kr/en/games/games.asp</x:v>
      </x:c>
      <x:c r="X43" s="7" t="str">
        <x:v>https://www.gravity.co.kr/en/ir/ir.asp</x:v>
      </x:c>
      <x:c r="Y43" s="7" t="n">
        <x:f>COUNTA(V43:X43)</x:f>
        <x:v>3</x:v>
      </x:c>
      <x:c r="Z43" s="7" t="str">
        <x:v>High</x:v>
      </x:c>
      <x:c r="AA43" s="7" t="str">
        <x:v>B wave; ask for global publishing evaluation.</x:v>
      </x:c>
      <x:c r="AB43" s="7" t="str">
        <x:v>Not Started</x:v>
      </x:c>
      <x:c r="AC43" s="7" t="str">
        <x:v>2026-06-02</x:v>
      </x:c>
      <x:c r="AD43" s="7" t="str"/>
      <x:c r="AE43" s="7" t="str"/>
      <x:c r="AF43" s="7" t="str">
        <x:v>NASDAQ上市游戏公司；Ragnarok IP 全球发行，年收入千亿韩元级。</x:v>
      </x:c>
      <x:c r="AG43" s="7" t="str">
        <x:v>Ragnarok IP mobile/PC global publishing; regional operations</x:v>
      </x:c>
      <x:c r="AH43" s="7" t="str">
        <x:v>未公开商务邮箱</x:v>
      </x:c>
      <x:c r="AI43" s="7" t="str">
        <x:v>未找到公开商务邮箱；建议使用官方联系入口：https://www.gravity.co.kr/en/company/contact.asp</x:v>
      </x:c>
    </x:row>
    <x:row r="44">
      <x:c r="A44" s="7" t="str">
        <x:v>KR-043</x:v>
      </x:c>
      <x:c r="B44" s="7" t="str">
        <x:v>B</x:v>
      </x:c>
      <x:c r="C44" s="7" t="n">
        <x:v>43</x:v>
      </x:c>
      <x:c r="D44" s="7" t="str">
        <x:v>Mobirix</x:v>
      </x:c>
      <x:c r="E44" s="7" t="str">
        <x:v>Korea</x:v>
      </x:c>
      <x:c r="F44" s="7" t="str">
        <x:v>Seoul, Korea</x:v>
      </x:c>
      <x:c r="G44" s="7" t="str">
        <x:v>https://www.mobirix.com/</x:v>
      </x:c>
      <x:c r="H44" s="7" t="str">
        <x:v>Public mobile game publisher/developer</x:v>
      </x:c>
      <x:c r="I44" s="7" t="str">
        <x:v>Large catalog of casual/arcade/mobile titles</x:v>
      </x:c>
      <x:c r="J44" s="8" t="n">
        <x:v>13</x:v>
      </x:c>
      <x:c r="K44" s="8" t="n">
        <x:v>7</x:v>
      </x:c>
      <x:c r="L44" s="8" t="n">
        <x:v>17</x:v>
      </x:c>
      <x:c r="M44" s="8" t="n">
        <x:v>9</x:v>
      </x:c>
      <x:c r="N44" s="8" t="n">
        <x:v>7</x:v>
      </x:c>
      <x:c r="O44" s="8" t="n">
        <x:f>SUM(J44:N44)</x:f>
        <x:v>53</x:v>
      </x:c>
      <x:c r="P44" s="7" t="str">
        <x:v>Publishing; global distribution; revenue share</x:v>
      </x:c>
      <x:c r="Q44" s="7" t="str">
        <x:v>Publishing; Business Development</x:v>
      </x:c>
      <x:c r="R44" s="7" t="str">
        <x:v>Official contact; IR</x:v>
      </x:c>
      <x:c r="S44" s="7" t="str">
        <x:v>https://www.mobirix.com/contact</x:v>
      </x:c>
      <x:c r="T44" s="7" t="str">
        <x:v>Catalog publisher fit; likely tactical publishing more than acquisition.</x:v>
      </x:c>
      <x:c r="U44" s="7" t="str">
        <x:v>Official site lists large mobile game portfolio and company/IR info.</x:v>
      </x:c>
      <x:c r="V44" s="7" t="str">
        <x:v>https://www.mobirix.com/</x:v>
      </x:c>
      <x:c r="W44" s="7" t="str">
        <x:v>https://www.mobirix.com/game</x:v>
      </x:c>
      <x:c r="X44" s="7" t="str">
        <x:v>https://www.mobirix.com/ir</x:v>
      </x:c>
      <x:c r="Y44" s="7" t="n">
        <x:f>COUNTA(V44:X44)</x:f>
        <x:v>3</x:v>
      </x:c>
      <x:c r="Z44" s="7" t="str">
        <x:v>Medium</x:v>
      </x:c>
      <x:c r="AA44" s="7" t="str">
        <x:v>B/C wave; use concise metrics and ask for catalogue publishing review.</x:v>
      </x:c>
      <x:c r="AB44" s="7" t="str">
        <x:v>Not Started</x:v>
      </x:c>
      <x:c r="AC44" s="7" t="str">
        <x:v>2026-06-02</x:v>
      </x:c>
      <x:c r="AD44" s="7" t="str"/>
      <x:c r="AE44" s="7" t="str"/>
      <x:c r="AF44" s="7" t="str">
        <x:v>上市/挂牌游戏公司；未在本轮补充精确收入，按年收入数十亿至数百亿日元/千亿韩元级处理。</x:v>
      </x:c>
      <x:c r="AG44" s="7" t="str">
        <x:v>Large catalog of casual/arcade/mobile titles</x:v>
      </x:c>
      <x:c r="AH44" s="7" t="str">
        <x:v>master@mobirix.com</x:v>
      </x:c>
      <x:c r="AI44" s="7" t="str">
        <x:v>官网公开通用邮箱。</x:v>
      </x:c>
    </x:row>
    <x:row r="45">
      <x:c r="A45" s="7" t="str">
        <x:v>JP-044</x:v>
      </x:c>
      <x:c r="B45" s="7" t="str">
        <x:v>B</x:v>
      </x:c>
      <x:c r="C45" s="7" t="n">
        <x:v>44</x:v>
      </x:c>
      <x:c r="D45" s="7" t="str">
        <x:v>Pokelabo</x:v>
      </x:c>
      <x:c r="E45" s="7" t="str">
        <x:v>Japan</x:v>
      </x:c>
      <x:c r="F45" s="7" t="str">
        <x:v>Tokyo, Japan</x:v>
      </x:c>
      <x:c r="G45" s="7" t="str">
        <x:v>https://pokelabo.co.jp/en/</x:v>
      </x:c>
      <x:c r="H45" s="7" t="str">
        <x:v>Mobile game brand under GREE/WFS</x:v>
      </x:c>
      <x:c r="I45" s="7" t="str">
        <x:v>SINoALICE, Assault Lily Last Bullet; live-service mobile games</x:v>
      </x:c>
      <x:c r="J45" s="8" t="n">
        <x:v>14</x:v>
      </x:c>
      <x:c r="K45" s="8" t="n">
        <x:v>8</x:v>
      </x:c>
      <x:c r="L45" s="8" t="n">
        <x:v>14</x:v>
      </x:c>
      <x:c r="M45" s="8" t="n">
        <x:v>10</x:v>
      </x:c>
      <x:c r="N45" s="8" t="n">
        <x:v>6</x:v>
      </x:c>
      <x:c r="O45" s="8" t="n">
        <x:f>SUM(J45:N45)</x:f>
        <x:v>52</x:v>
      </x:c>
      <x:c r="P45" s="7" t="str">
        <x:v>Co-development; publishing via GREE/WFS</x:v>
      </x:c>
      <x:c r="Q45" s="7" t="str">
        <x:v>WFS/GREE live-service; Pokelabo brand</x:v>
      </x:c>
      <x:c r="R45" s="7" t="str">
        <x:v>WFS/GREE contact preferred</x:v>
      </x:c>
      <x:c r="S45" s="7" t="str">
        <x:v>https://www.wfs.games/en/contact/</x:v>
      </x:c>
      <x:c r="T45" s="7" t="str">
        <x:v>Treat as route to GREE/WFS rather than independent buyer.</x:v>
      </x:c>
      <x:c r="U45" s="7" t="str">
        <x:v>Official site and GREE restructuring coverage show Pokelabo as GREE mobile/live-service brand.</x:v>
      </x:c>
      <x:c r="V45" s="7" t="str">
        <x:v>https://pokelabo.co.jp/en/</x:v>
      </x:c>
      <x:c r="W45" s="7" t="str">
        <x:v>https://www.wfs.games/en/</x:v>
      </x:c>
      <x:c r="X45" s="7" t="str">
        <x:v>https://www.gematsu.com/2024/11/gree-establishes-gree-studios-to-manage-consumer-games-business-live-service-games-business-absorbed-by-wfs</x:v>
      </x:c>
      <x:c r="Y45" s="7" t="n">
        <x:f>COUNTA(V45:X45)</x:f>
        <x:v>3</x:v>
      </x:c>
      <x:c r="Z45" s="7" t="str">
        <x:v>Medium</x:v>
      </x:c>
      <x:c r="AA45" s="7" t="str">
        <x:v>Do not duplicate if already contacting GREE/WFS; use as named reference.</x:v>
      </x:c>
      <x:c r="AB45" s="7" t="str">
        <x:v>Not Started</x:v>
      </x:c>
      <x:c r="AC45" s="7" t="str">
        <x:v>2026-06-02</x:v>
      </x:c>
      <x:c r="AD45" s="7" t="str"/>
      <x:c r="AE45" s="7" t="str"/>
      <x:c r="AF45" s="7" t="str">
        <x:v>中小型游戏发行/开发公司；公开资料未披露收入，按约11-200人级工作室处理。</x:v>
      </x:c>
      <x:c r="AG45" s="7" t="str">
        <x:v>SINoALICE, Assault Lily Last Bullet; live-service mobile games</x:v>
      </x:c>
      <x:c r="AH45" s="7" t="str">
        <x:v>未公开商务邮箱</x:v>
      </x:c>
      <x:c r="AI45" s="7" t="str">
        <x:v>未找到公开商务邮箱；建议使用官方联系入口：https://www.wfs.games/en/contact/</x:v>
      </x:c>
    </x:row>
    <x:row r="46">
      <x:c r="A46" s="7" t="str">
        <x:v>KR-045</x:v>
      </x:c>
      <x:c r="B46" s="7" t="str">
        <x:v>B</x:v>
      </x:c>
      <x:c r="C46" s="7" t="n">
        <x:v>45</x:v>
      </x:c>
      <x:c r="D46" s="7" t="str">
        <x:v>Pearl Abyss</x:v>
      </x:c>
      <x:c r="E46" s="7" t="str">
        <x:v>Korea</x:v>
      </x:c>
      <x:c r="F46" s="7" t="str">
        <x:v>Anyang, Korea</x:v>
      </x:c>
      <x:c r="G46" s="7" t="str">
        <x:v>https://www.pearlabyss.com/en-US</x:v>
      </x:c>
      <x:c r="H46" s="7" t="str">
        <x:v>Public game developer/publisher</x:v>
      </x:c>
      <x:c r="I46" s="7" t="str">
        <x:v>Black Desert, EVE-related CCP ownership; global self-publishing</x:v>
      </x:c>
      <x:c r="J46" s="8" t="n">
        <x:v>13</x:v>
      </x:c>
      <x:c r="K46" s="8" t="n">
        <x:v>11</x:v>
      </x:c>
      <x:c r="L46" s="8" t="n">
        <x:v>8</x:v>
      </x:c>
      <x:c r="M46" s="8" t="n">
        <x:v>14</x:v>
      </x:c>
      <x:c r="N46" s="8" t="n">
        <x:v>6</x:v>
      </x:c>
      <x:c r="O46" s="8" t="n">
        <x:f>SUM(J46:N46)</x:f>
        <x:v>52</x:v>
      </x:c>
      <x:c r="P46" s="7" t="str">
        <x:v>Strategic partnership; publishing; acquisition unlikely</x:v>
      </x:c>
      <x:c r="Q46" s="7" t="str">
        <x:v>Global Business; Corporate Strategy</x:v>
      </x:c>
      <x:c r="R46" s="7" t="str">
        <x:v>Corporate inquiry; IR</x:v>
      </x:c>
      <x:c r="S46" s="7" t="str">
        <x:v>https://www.pearlabyss.com/en-US/Company/Contact</x:v>
      </x:c>
      <x:c r="T46" s="7" t="str">
        <x:v>Low genre fit but global publishing resources; useful if they seek portfolio diversification.</x:v>
      </x:c>
      <x:c r="U46" s="7" t="str">
        <x:v>Official site/IR show global game publishing and large live-service operation.</x:v>
      </x:c>
      <x:c r="V46" s="7" t="str">
        <x:v>https://www.pearlabyss.com/en-US</x:v>
      </x:c>
      <x:c r="W46" s="7" t="str">
        <x:v>https://www.pearlabyss.com/en-US/IR/Archive</x:v>
      </x:c>
      <x:c r="X46" s="7" t="str">
        <x:v>https://www.pearlabyss.com/en-US/Game/BlackDesert</x:v>
      </x:c>
      <x:c r="Y46" s="7" t="n">
        <x:f>COUNTA(V46:X46)</x:f>
        <x:v>3</x:v>
      </x:c>
      <x:c r="Z46" s="7" t="str">
        <x:v>High</x:v>
      </x:c>
      <x:c r="AA46" s="7" t="str">
        <x:v>B wave; keep message short and data-led.</x:v>
      </x:c>
      <x:c r="AB46" s="7" t="str">
        <x:v>Not Started</x:v>
      </x:c>
      <x:c r="AC46" s="7" t="str">
        <x:v>2026-06-02</x:v>
      </x:c>
      <x:c r="AD46" s="7" t="str"/>
      <x:c r="AE46" s="7" t="str"/>
      <x:c r="AF46" s="7" t="str">
        <x:v>上市游戏公司；年收入数千亿韩元级，全球自发行能力。</x:v>
      </x:c>
      <x:c r="AG46" s="7" t="str">
        <x:v>Black Desert, EVE-related CCP ownership; global self-publishing</x:v>
      </x:c>
      <x:c r="AH46" s="7" t="str">
        <x:v>business@pearlabyss.com; contact@pearlabyss.com</x:v>
      </x:c>
      <x:c r="AI46" s="7" t="str">
        <x:v>官网公开 Business/Contact 邮箱；BD优先 business@。</x:v>
      </x:c>
    </x:row>
    <x:row r="47">
      <x:c r="A47" s="7" t="str">
        <x:v>KR-046</x:v>
      </x:c>
      <x:c r="B47" s="7" t="str">
        <x:v>B</x:v>
      </x:c>
      <x:c r="C47" s="7" t="n">
        <x:v>46</x:v>
      </x:c>
      <x:c r="D47" s="7" t="str">
        <x:v>Wemade</x:v>
      </x:c>
      <x:c r="E47" s="7" t="str">
        <x:v>Korea</x:v>
      </x:c>
      <x:c r="F47" s="7" t="str">
        <x:v>Seongnam, Korea</x:v>
      </x:c>
      <x:c r="G47" s="7" t="str">
        <x:v>https://www.wemade.com/en</x:v>
      </x:c>
      <x:c r="H47" s="7" t="str">
        <x:v>Public game/blockchain publisher</x:v>
      </x:c>
      <x:c r="I47" s="7" t="str">
        <x:v>MIR franchise; Wemix ecosystem; mobile/PC publishing</x:v>
      </x:c>
      <x:c r="J47" s="8" t="n">
        <x:v>12</x:v>
      </x:c>
      <x:c r="K47" s="8" t="n">
        <x:v>12</x:v>
      </x:c>
      <x:c r="L47" s="8" t="n">
        <x:v>9</x:v>
      </x:c>
      <x:c r="M47" s="8" t="n">
        <x:v>12</x:v>
      </x:c>
      <x:c r="N47" s="8" t="n">
        <x:v>7</x:v>
      </x:c>
      <x:c r="O47" s="8" t="n">
        <x:f>SUM(J47:N47)</x:f>
        <x:v>52</x:v>
      </x:c>
      <x:c r="P47" s="7" t="str">
        <x:v>Publishing; strategic investment; blockchain optionality</x:v>
      </x:c>
      <x:c r="Q47" s="7" t="str">
        <x:v>Publishing; Investment; Global Business</x:v>
      </x:c>
      <x:c r="R47" s="7" t="str">
        <x:v>Corporate inquiry; IR</x:v>
      </x:c>
      <x:c r="S47" s="7" t="str">
        <x:v>https://www.wemade.com/en/contact</x:v>
      </x:c>
      <x:c r="T47" s="7" t="str">
        <x:v>Fit is weaker unless they need non-MMORPG mobile diversification or Web3 angle is useful.</x:v>
      </x:c>
      <x:c r="U47" s="7" t="str">
        <x:v>Official site/IR covers game publishing and global platform strategy.</x:v>
      </x:c>
      <x:c r="V47" s="7" t="str">
        <x:v>https://www.wemade.com/en</x:v>
      </x:c>
      <x:c r="W47" s="7" t="str">
        <x:v>https://www.wemade.com/en/games</x:v>
      </x:c>
      <x:c r="X47" s="7" t="str">
        <x:v>https://www.wemade.com/en/ir</x:v>
      </x:c>
      <x:c r="Y47" s="7" t="n">
        <x:f>COUNTA(V47:X47)</x:f>
        <x:v>3</x:v>
      </x:c>
      <x:c r="Z47" s="7" t="str">
        <x:v>High</x:v>
      </x:c>
      <x:c r="AA47" s="7" t="str">
        <x:v>B wave; do not lead with Web3 unless they ask.</x:v>
      </x:c>
      <x:c r="AB47" s="7" t="str">
        <x:v>Not Started</x:v>
      </x:c>
      <x:c r="AC47" s="7" t="str">
        <x:v>2026-06-02</x:v>
      </x:c>
      <x:c r="AD47" s="7" t="str"/>
      <x:c r="AE47" s="7" t="str"/>
      <x:c r="AF47" s="7" t="str">
        <x:v>上市游戏/平台公司；MIR/WEMIX 生态，年收入千亿韩元级。</x:v>
      </x:c>
      <x:c r="AG47" s="7" t="str">
        <x:v>MIR franchise; Wemix ecosystem; mobile/PC publishing</x:v>
      </x:c>
      <x:c r="AH47" s="7" t="str">
        <x:v>contact@wemade.com; ir@wemade.com; wemadejapan@wemade.co.jp</x:v>
      </x:c>
      <x:c r="AI47" s="7" t="str">
        <x:v>官网公开集团联系、IR、日本法人邮箱；BD中国邮箱不作为日韩首选。</x:v>
      </x:c>
    </x:row>
    <x:row r="48">
      <x:c r="A48" s="7" t="str">
        <x:v>JP-047</x:v>
      </x:c>
      <x:c r="B48" s="7" t="str">
        <x:v>B</x:v>
      </x:c>
      <x:c r="C48" s="7" t="n">
        <x:v>47</x:v>
      </x:c>
      <x:c r="D48" s="7" t="str">
        <x:v>enish</x:v>
      </x:c>
      <x:c r="E48" s="7" t="str">
        <x:v>Japan</x:v>
      </x:c>
      <x:c r="F48" s="7" t="str">
        <x:v>Tokyo, Japan</x:v>
      </x:c>
      <x:c r="G48" s="7" t="str">
        <x:v>https://www.enish.com/en/</x:v>
      </x:c>
      <x:c r="H48" s="7" t="str">
        <x:v>Public mobile game developer/publisher</x:v>
      </x:c>
      <x:c r="I48" s="7" t="str">
        <x:v>Yuru Camp mobile, De:Lithe, IP-based mobile games</x:v>
      </x:c>
      <x:c r="J48" s="8" t="n">
        <x:v>13</x:v>
      </x:c>
      <x:c r="K48" s="8" t="n">
        <x:v>9</x:v>
      </x:c>
      <x:c r="L48" s="8" t="n">
        <x:v>13</x:v>
      </x:c>
      <x:c r="M48" s="8" t="n">
        <x:v>9</x:v>
      </x:c>
      <x:c r="N48" s="8" t="n">
        <x:v>7</x:v>
      </x:c>
      <x:c r="O48" s="8" t="n">
        <x:f>SUM(J48:N48)</x:f>
        <x:v>51</x:v>
      </x:c>
      <x:c r="P48" s="7" t="str">
        <x:v>Publishing; co-development; asset deal</x:v>
      </x:c>
      <x:c r="Q48" s="7" t="str">
        <x:v>Business Development; Game Production</x:v>
      </x:c>
      <x:c r="R48" s="7" t="str">
        <x:v>Corporate inquiry; IR</x:v>
      </x:c>
      <x:c r="S48" s="7" t="str">
        <x:v>https://www.enish.com/en/contact/</x:v>
      </x:c>
      <x:c r="T48" s="7" t="str">
        <x:v>Possible mid-market publisher if they need a lower-risk tested project.</x:v>
      </x:c>
      <x:c r="U48" s="7" t="str">
        <x:v>Official site lists mobile game business and IR/company information.</x:v>
      </x:c>
      <x:c r="V48" s="7" t="str">
        <x:v>https://www.enish.com/en/</x:v>
      </x:c>
      <x:c r="W48" s="7" t="str">
        <x:v>https://www.enish.com/en/service/</x:v>
      </x:c>
      <x:c r="X48" s="7" t="str">
        <x:v>https://www.enish.com/en/ir/</x:v>
      </x:c>
      <x:c r="Y48" s="7" t="n">
        <x:f>COUNTA(V48:X48)</x:f>
        <x:v>3</x:v>
      </x:c>
      <x:c r="Z48" s="7" t="str">
        <x:v>Medium</x:v>
      </x:c>
      <x:c r="AA48" s="7" t="str">
        <x:v>Include in B/C batch; ask for publishing/MG interest.</x:v>
      </x:c>
      <x:c r="AB48" s="7" t="str">
        <x:v>Not Started</x:v>
      </x:c>
      <x:c r="AC48" s="7" t="str">
        <x:v>2026-06-02</x:v>
      </x:c>
      <x:c r="AD48" s="7" t="str"/>
      <x:c r="AE48" s="7" t="str"/>
      <x:c r="AF48" s="7" t="str">
        <x:v>上市/挂牌游戏公司；未在本轮补充精确收入，按年收入数十亿至数百亿日元/千亿韩元级处理。</x:v>
      </x:c>
      <x:c r="AG48" s="7" t="str">
        <x:v>Yuru Camp mobile, De:Lithe, IP-based mobile games</x:v>
      </x:c>
      <x:c r="AH48" s="7" t="str">
        <x:v>info@enish.com; pr@enish.com</x:v>
      </x:c>
      <x:c r="AI48" s="7" t="str">
        <x:v>官网公开通用/PR邮箱；建议并行官网表单。</x:v>
      </x:c>
    </x:row>
    <x:row r="49">
      <x:c r="A49" s="7" t="str">
        <x:v>KR-048</x:v>
      </x:c>
      <x:c r="B49" s="7" t="str">
        <x:v>B</x:v>
      </x:c>
      <x:c r="C49" s="7" t="n">
        <x:v>48</x:v>
      </x:c>
      <x:c r="D49" s="7" t="str">
        <x:v>LINE Games</x:v>
      </x:c>
      <x:c r="E49" s="7" t="str">
        <x:v>Korea</x:v>
      </x:c>
      <x:c r="F49" s="7" t="str">
        <x:v>Seoul, Korea</x:v>
      </x:c>
      <x:c r="G49" s="7" t="str">
        <x:v>https://line.games/en/</x:v>
      </x:c>
      <x:c r="H49" s="7" t="str">
        <x:v>Game publisher/developer linked to LINE ecosystem</x:v>
      </x:c>
      <x:c r="I49" s="7" t="str">
        <x:v>Exos Heroes, Undecember, Buried Stars; mobile/PC publishing</x:v>
      </x:c>
      <x:c r="J49" s="8" t="n">
        <x:v>13</x:v>
      </x:c>
      <x:c r="K49" s="8" t="n">
        <x:v>9</x:v>
      </x:c>
      <x:c r="L49" s="8" t="n">
        <x:v>11</x:v>
      </x:c>
      <x:c r="M49" s="8" t="n">
        <x:v>11</x:v>
      </x:c>
      <x:c r="N49" s="8" t="n">
        <x:v>7</x:v>
      </x:c>
      <x:c r="O49" s="8" t="n">
        <x:f>SUM(J49:N49)</x:f>
        <x:v>51</x:v>
      </x:c>
      <x:c r="P49" s="7" t="str">
        <x:v>Publishing; co-development; Korea/Japan distribution</x:v>
      </x:c>
      <x:c r="Q49" s="7" t="str">
        <x:v>Business Development; Publishing</x:v>
      </x:c>
      <x:c r="R49" s="7" t="str">
        <x:v>Corporate contact; LinkedIn</x:v>
      </x:c>
      <x:c r="S49" s="7" t="str">
        <x:v>https://line.games/en/contact</x:v>
      </x:c>
      <x:c r="T49" s="7" t="str">
        <x:v>Potential publisher with Japan/Korea channel advantages; acquisition less likely.</x:v>
      </x:c>
      <x:c r="U49" s="7" t="str">
        <x:v>Official site lists portfolio and publishing/development business.</x:v>
      </x:c>
      <x:c r="V49" s="7" t="str">
        <x:v>https://line.games/en/</x:v>
      </x:c>
      <x:c r="W49" s="7" t="str">
        <x:v>https://line.games/en/games</x:v>
      </x:c>
      <x:c r="X49" s="7" t="str">
        <x:v>https://www.linkedin.com/company/line-games/</x:v>
      </x:c>
      <x:c r="Y49" s="7" t="n">
        <x:f>COUNTA(V49:X49)</x:f>
        <x:v>3</x:v>
      </x:c>
      <x:c r="Z49" s="7" t="str">
        <x:v>Medium</x:v>
      </x:c>
      <x:c r="AA49" s="7" t="str">
        <x:v>B/C wave; ask for publishing review.</x:v>
      </x:c>
      <x:c r="AB49" s="7" t="str">
        <x:v>Not Started</x:v>
      </x:c>
      <x:c r="AC49" s="7" t="str">
        <x:v>2026-06-02</x:v>
      </x:c>
      <x:c r="AD49" s="7" t="str"/>
      <x:c r="AE49" s="7" t="str"/>
      <x:c r="AF49" s="7" t="str">
        <x:v>中小型游戏发行/开发公司；公开资料未披露收入，按约11-200人级工作室处理。</x:v>
      </x:c>
      <x:c r="AG49" s="7" t="str">
        <x:v>Exos Heroes, Undecember, Buried Stars; mobile/PC publishing</x:v>
      </x:c>
      <x:c r="AH49" s="7" t="str">
        <x:v>linegames_biz@line.games; ir@line.games</x:v>
      </x:c>
      <x:c r="AI49" s="7" t="str">
        <x:v>官网 Company 页面公开 biz/IR 邮箱；BD优先 linegames_biz@，game_service support 邮箱已排除。</x:v>
      </x:c>
    </x:row>
    <x:row r="50">
      <x:c r="A50" s="7" t="str">
        <x:v>JP-049</x:v>
      </x:c>
      <x:c r="B50" s="7" t="str">
        <x:v>B</x:v>
      </x:c>
      <x:c r="C50" s="7" t="n">
        <x:v>49</x:v>
      </x:c>
      <x:c r="D50" s="7" t="str">
        <x:v>QualiArts</x:v>
      </x:c>
      <x:c r="E50" s="7" t="str">
        <x:v>Japan</x:v>
      </x:c>
      <x:c r="F50" s="7" t="str">
        <x:v>Tokyo, Japan</x:v>
      </x:c>
      <x:c r="G50" s="7" t="str">
        <x:v>https://qualiarts.jp/</x:v>
      </x:c>
      <x:c r="H50" s="7" t="str">
        <x:v>CyberAgent SGE mobile game subsidiary</x:v>
      </x:c>
      <x:c r="I50" s="7" t="str">
        <x:v>IDOLY PRIDE, Girlfriend Beta; smartphone game production</x:v>
      </x:c>
      <x:c r="J50" s="8" t="n">
        <x:v>13</x:v>
      </x:c>
      <x:c r="K50" s="8" t="n">
        <x:v>8</x:v>
      </x:c>
      <x:c r="L50" s="8" t="n">
        <x:v>13</x:v>
      </x:c>
      <x:c r="M50" s="8" t="n">
        <x:v>10</x:v>
      </x:c>
      <x:c r="N50" s="8" t="n">
        <x:v>6</x:v>
      </x:c>
      <x:c r="O50" s="8" t="n">
        <x:f>SUM(J50:N50)</x:f>
        <x:v>50</x:v>
      </x:c>
      <x:c r="P50" s="7" t="str">
        <x:v>Co-development; publishing via CyberAgent</x:v>
      </x:c>
      <x:c r="Q50" s="7" t="str">
        <x:v>CyberAgent SGE; QualiArts production</x:v>
      </x:c>
      <x:c r="R50" s="7" t="str">
        <x:v>Corporate contact; parent route</x:v>
      </x:c>
      <x:c r="S50" s="7" t="str">
        <x:v>https://qualiarts.jp/contact/</x:v>
      </x:c>
      <x:c r="T50" s="7" t="str">
        <x:v>Use as a production/partnership angle within CyberAgent group.</x:v>
      </x:c>
      <x:c r="U50" s="7" t="str">
        <x:v>Official site lists smartphone game production; CyberAgent report identifies QualiArts within SGE.</x:v>
      </x:c>
      <x:c r="V50" s="7" t="str">
        <x:v>https://qualiarts.jp/</x:v>
      </x:c>
      <x:c r="W50" s="7" t="str">
        <x:v>https://report.cyberagent.co.jp/en/game/</x:v>
      </x:c>
      <x:c r="X50" s="7" t="str">
        <x:v>https://www.cyberagent.co.jp/en/</x:v>
      </x:c>
      <x:c r="Y50" s="7" t="n">
        <x:f>COUNTA(V50:X50)</x:f>
        <x:v>3</x:v>
      </x:c>
      <x:c r="Z50" s="7" t="str">
        <x:v>Medium</x:v>
      </x:c>
      <x:c r="AA50" s="7" t="str">
        <x:v>Approach through CyberAgent if no direct warm intro.</x:v>
      </x:c>
      <x:c r="AB50" s="7" t="str">
        <x:v>Not Started</x:v>
      </x:c>
      <x:c r="AC50" s="7" t="str">
        <x:v>2026-06-02</x:v>
      </x:c>
      <x:c r="AD50" s="7" t="str"/>
      <x:c r="AE50" s="7" t="str"/>
      <x:c r="AF50" s="7" t="str">
        <x:v>中小型游戏发行/开发公司；公开资料未披露收入，按约11-200人级工作室处理。</x:v>
      </x:c>
      <x:c r="AG50" s="7" t="str">
        <x:v>IDOLY PRIDE, Girlfriend Beta; smartphone game production</x:v>
      </x:c>
      <x:c r="AH50" s="7" t="str">
        <x:v>未公开商务邮箱</x:v>
      </x:c>
      <x:c r="AI50" s="7" t="str">
        <x:v>未找到公开商务邮箱；建议使用官方联系入口：https://qualiarts.jp/contact/</x:v>
      </x:c>
    </x:row>
    <x:row r="51">
      <x:c r="A51" s="7" t="str">
        <x:v>JP-050</x:v>
      </x:c>
      <x:c r="B51" s="7" t="str">
        <x:v>B</x:v>
      </x:c>
      <x:c r="C51" s="7" t="n">
        <x:v>50</x:v>
      </x:c>
      <x:c r="D51" s="7" t="str">
        <x:v>Sumzap</x:v>
      </x:c>
      <x:c r="E51" s="7" t="str">
        <x:v>Japan</x:v>
      </x:c>
      <x:c r="F51" s="7" t="str">
        <x:v>Tokyo, Japan</x:v>
      </x:c>
      <x:c r="G51" s="7" t="str">
        <x:v>https://sumzap.co.jp/</x:v>
      </x:c>
      <x:c r="H51" s="7" t="str">
        <x:v>CyberAgent mobile game subsidiary</x:v>
      </x:c>
      <x:c r="I51" s="7" t="str">
        <x:v>Jujutsu Kaisen Phantom Parade; KonoSuba Fantastic Days</x:v>
      </x:c>
      <x:c r="J51" s="8" t="n">
        <x:v>13</x:v>
      </x:c>
      <x:c r="K51" s="8" t="n">
        <x:v>8</x:v>
      </x:c>
      <x:c r="L51" s="8" t="n">
        <x:v>13</x:v>
      </x:c>
      <x:c r="M51" s="8" t="n">
        <x:v>10</x:v>
      </x:c>
      <x:c r="N51" s="8" t="n">
        <x:v>6</x:v>
      </x:c>
      <x:c r="O51" s="8" t="n">
        <x:f>SUM(J51:N51)</x:f>
        <x:v>50</x:v>
      </x:c>
      <x:c r="P51" s="7" t="str">
        <x:v>Co-development; publishing via CyberAgent</x:v>
      </x:c>
      <x:c r="Q51" s="7" t="str">
        <x:v>CyberAgent SGE; Sumzap production</x:v>
      </x:c>
      <x:c r="R51" s="7" t="str">
        <x:v>Corporate site/contact; parent route</x:v>
      </x:c>
      <x:c r="S51" s="7" t="str">
        <x:v>https://sumzap.co.jp/contact/</x:v>
      </x:c>
      <x:c r="T51" s="7" t="str">
        <x:v>Relevant for mobile live-service production, less likely direct investor.</x:v>
      </x:c>
      <x:c r="U51" s="7" t="str">
        <x:v>Official site lists mobile game titles; CyberAgent report places Sumzap in SGE ecosystem.</x:v>
      </x:c>
      <x:c r="V51" s="7" t="str">
        <x:v>https://sumzap.co.jp/</x:v>
      </x:c>
      <x:c r="W51" s="7" t="str">
        <x:v>https://report.cyberagent.co.jp/en/game/</x:v>
      </x:c>
      <x:c r="X51" s="7" t="str">
        <x:v>https://www.cyberagent.co.jp/en/</x:v>
      </x:c>
      <x:c r="Y51" s="7" t="n">
        <x:f>COUNTA(V51:X51)</x:f>
        <x:v>3</x:v>
      </x:c>
      <x:c r="Z51" s="7" t="str">
        <x:v>Medium</x:v>
      </x:c>
      <x:c r="AA51" s="7" t="str">
        <x:v>Use only if CyberAgent asks for subsidiary-level evaluation.</x:v>
      </x:c>
      <x:c r="AB51" s="7" t="str">
        <x:v>Not Started</x:v>
      </x:c>
      <x:c r="AC51" s="7" t="str">
        <x:v>2026-06-02</x:v>
      </x:c>
      <x:c r="AD51" s="7" t="str"/>
      <x:c r="AE51" s="7" t="str"/>
      <x:c r="AF51" s="7" t="str">
        <x:v>中小型游戏发行/开发公司；公开资料未披露收入，按约11-200人级工作室处理。</x:v>
      </x:c>
      <x:c r="AG51" s="7" t="str">
        <x:v>Jujutsu Kaisen Phantom Parade; KonoSuba Fantastic Days</x:v>
      </x:c>
      <x:c r="AH51" s="7" t="str">
        <x:v>未公开商务邮箱</x:v>
      </x:c>
      <x:c r="AI51" s="7" t="str">
        <x:v>未找到公开商务邮箱；建议使用官方联系入口：https://sumzap.co.jp/contact/</x:v>
      </x:c>
    </x:row>
    <x:row r="52">
      <x:c r="A52" s="7" t="str">
        <x:v>KR-051</x:v>
      </x:c>
      <x:c r="B52" s="7" t="str">
        <x:v>B</x:v>
      </x:c>
      <x:c r="C52" s="7" t="n">
        <x:v>51</x:v>
      </x:c>
      <x:c r="D52" s="7" t="str">
        <x:v>JOYCITY</x:v>
      </x:c>
      <x:c r="E52" s="7" t="str">
        <x:v>Korea</x:v>
      </x:c>
      <x:c r="F52" s="7" t="str">
        <x:v>Seongnam, Korea</x:v>
      </x:c>
      <x:c r="G52" s="7" t="str">
        <x:v>https://joycity.com/en/</x:v>
      </x:c>
      <x:c r="H52" s="7" t="str">
        <x:v>Public mobile/PC game developer/publisher</x:v>
      </x:c>
      <x:c r="I52" s="7" t="str">
        <x:v>Gunship Battle, Pirates of the Caribbean: Tides of War, Freestyle</x:v>
      </x:c>
      <x:c r="J52" s="8" t="n">
        <x:v>13</x:v>
      </x:c>
      <x:c r="K52" s="8" t="n">
        <x:v>8</x:v>
      </x:c>
      <x:c r="L52" s="8" t="n">
        <x:v>11</x:v>
      </x:c>
      <x:c r="M52" s="8" t="n">
        <x:v>11</x:v>
      </x:c>
      <x:c r="N52" s="8" t="n">
        <x:v>7</x:v>
      </x:c>
      <x:c r="O52" s="8" t="n">
        <x:f>SUM(J52:N52)</x:f>
        <x:v>50</x:v>
      </x:c>
      <x:c r="P52" s="7" t="str">
        <x:v>Publishing; co-development; regional/global operation</x:v>
      </x:c>
      <x:c r="Q52" s="7" t="str">
        <x:v>Global Business; Publishing</x:v>
      </x:c>
      <x:c r="R52" s="7" t="str">
        <x:v>Corporate inquiry; IR</x:v>
      </x:c>
      <x:c r="S52" s="7" t="str">
        <x:v>https://joycity.com/en/contact</x:v>
      </x:c>
      <x:c r="T52" s="7" t="str">
        <x:v>Useful mid-market publisher if they want non-core casual expansion.</x:v>
      </x:c>
      <x:c r="U52" s="7" t="str">
        <x:v>Official site lists global mobile/PC portfolio and IR.</x:v>
      </x:c>
      <x:c r="V52" s="7" t="str">
        <x:v>https://joycity.com/en/</x:v>
      </x:c>
      <x:c r="W52" s="7" t="str">
        <x:v>https://joycity.com/en/games</x:v>
      </x:c>
      <x:c r="X52" s="7" t="str">
        <x:v>https://joycity.com/en/ir</x:v>
      </x:c>
      <x:c r="Y52" s="7" t="n">
        <x:f>COUNTA(V52:X52)</x:f>
        <x:v>3</x:v>
      </x:c>
      <x:c r="Z52" s="7" t="str">
        <x:v>Medium</x:v>
      </x:c>
      <x:c r="AA52" s="7" t="str">
        <x:v>B/C wave; ask for publishing/MG appetite.</x:v>
      </x:c>
      <x:c r="AB52" s="7" t="str">
        <x:v>Not Started</x:v>
      </x:c>
      <x:c r="AC52" s="7" t="str">
        <x:v>2026-06-02</x:v>
      </x:c>
      <x:c r="AD52" s="7" t="str"/>
      <x:c r="AE52" s="7" t="str"/>
      <x:c r="AF52" s="7" t="str">
        <x:v>上市移动/PC游戏公司；年收入千亿韩元级。</x:v>
      </x:c>
      <x:c r="AG52" s="7" t="str">
        <x:v>Gunship Battle, Pirates of the Caribbean: Tides of War, Freestyle</x:v>
      </x:c>
      <x:c r="AH52" s="7" t="str">
        <x:v>未公开商务邮箱</x:v>
      </x:c>
      <x:c r="AI52" s="7" t="str">
        <x:v>未找到公开商务邮箱；建议使用官方联系入口：https://joycity.com/en/contact</x:v>
      </x:c>
    </x:row>
    <x:row r="53">
      <x:c r="A53" s="7" t="str">
        <x:v>JP-052</x:v>
      </x:c>
      <x:c r="B53" s="7" t="str">
        <x:v>B</x:v>
      </x:c>
      <x:c r="C53" s="7" t="n">
        <x:v>52</x:v>
      </x:c>
      <x:c r="D53" s="7" t="str">
        <x:v>Aiming</x:v>
      </x:c>
      <x:c r="E53" s="7" t="str">
        <x:v>Japan</x:v>
      </x:c>
      <x:c r="F53" s="7" t="str">
        <x:v>Tokyo, Japan</x:v>
      </x:c>
      <x:c r="G53" s="7" t="str">
        <x:v>https://aiming-inc.com/en/</x:v>
      </x:c>
      <x:c r="H53" s="7" t="str">
        <x:v>Public online/mobile game developer</x:v>
      </x:c>
      <x:c r="I53" s="7" t="str">
        <x:v>Dragon Quest Tact development, Caravan Stories, mobile/online games</x:v>
      </x:c>
      <x:c r="J53" s="8" t="n">
        <x:v>13</x:v>
      </x:c>
      <x:c r="K53" s="8" t="n">
        <x:v>8</x:v>
      </x:c>
      <x:c r="L53" s="8" t="n">
        <x:v>12</x:v>
      </x:c>
      <x:c r="M53" s="8" t="n">
        <x:v>9</x:v>
      </x:c>
      <x:c r="N53" s="8" t="n">
        <x:v>7</x:v>
      </x:c>
      <x:c r="O53" s="8" t="n">
        <x:f>SUM(J53:N53)</x:f>
        <x:v>49</x:v>
      </x:c>
      <x:c r="P53" s="7" t="str">
        <x:v>Co-development; publishing; Japan operation</x:v>
      </x:c>
      <x:c r="Q53" s="7" t="str">
        <x:v>Business Development; Development Partnership</x:v>
      </x:c>
      <x:c r="R53" s="7" t="str">
        <x:v>Corporate inquiry; IR</x:v>
      </x:c>
      <x:c r="S53" s="7" t="str">
        <x:v>https://aiming-inc.com/en/contact/</x:v>
      </x:c>
      <x:c r="T53" s="7" t="str">
        <x:v>Could review as co-dev/Japan operation, less likely investor.</x:v>
      </x:c>
      <x:c r="U53" s="7" t="str">
        <x:v>Official site lists online game development and IR details.</x:v>
      </x:c>
      <x:c r="V53" s="7" t="str">
        <x:v>https://aiming-inc.com/en/</x:v>
      </x:c>
      <x:c r="W53" s="7" t="str">
        <x:v>https://aiming-inc.com/en/service/</x:v>
      </x:c>
      <x:c r="X53" s="7" t="str">
        <x:v>https://aiming-inc.com/en/ir/</x:v>
      </x:c>
      <x:c r="Y53" s="7" t="n">
        <x:f>COUNTA(V53:X53)</x:f>
        <x:v>3</x:v>
      </x:c>
      <x:c r="Z53" s="7" t="str">
        <x:v>Medium</x:v>
      </x:c>
      <x:c r="AA53" s="7" t="str">
        <x:v>Send if seeking Japan co-dev/operator alternatives.</x:v>
      </x:c>
      <x:c r="AB53" s="7" t="str">
        <x:v>Not Started</x:v>
      </x:c>
      <x:c r="AC53" s="7" t="str">
        <x:v>2026-06-02</x:v>
      </x:c>
      <x:c r="AD53" s="7" t="str"/>
      <x:c r="AE53" s="7" t="str"/>
      <x:c r="AF53" s="7" t="str">
        <x:v>上市/挂牌游戏公司；未在本轮补充精确收入，按年收入数十亿至数百亿日元/千亿韩元级处理。</x:v>
      </x:c>
      <x:c r="AG53" s="7" t="str">
        <x:v>Dragon Quest Tact development, Caravan Stories, mobile/online games</x:v>
      </x:c>
      <x:c r="AH53" s="7" t="str">
        <x:v>未公开商务邮箱</x:v>
      </x:c>
      <x:c r="AI53" s="7" t="str">
        <x:v>未找到公开商务邮箱；建议使用官方联系入口：https://aiming-inc.com/en/contact/</x:v>
      </x:c>
    </x:row>
    <x:row r="54">
      <x:c r="A54" s="7" t="str">
        <x:v>JP-053</x:v>
      </x:c>
      <x:c r="B54" s="7" t="str">
        <x:v>B</x:v>
      </x:c>
      <x:c r="C54" s="7" t="n">
        <x:v>53</x:v>
      </x:c>
      <x:c r="D54" s="7" t="str">
        <x:v>Mynet</x:v>
      </x:c>
      <x:c r="E54" s="7" t="str">
        <x:v>Japan</x:v>
      </x:c>
      <x:c r="F54" s="7" t="str">
        <x:v>Tokyo, Japan</x:v>
      </x:c>
      <x:c r="G54" s="7" t="str">
        <x:v>https://mynet.co.jp/en/</x:v>
      </x:c>
      <x:c r="H54" s="7" t="str">
        <x:v>Public mobile game operations/acquisition company</x:v>
      </x:c>
      <x:c r="I54" s="7" t="str">
        <x:v>Mobile game operation, title acquisition/management</x:v>
      </x:c>
      <x:c r="J54" s="8" t="n">
        <x:v>11</x:v>
      </x:c>
      <x:c r="K54" s="8" t="n">
        <x:v>13</x:v>
      </x:c>
      <x:c r="L54" s="8" t="n">
        <x:v>10</x:v>
      </x:c>
      <x:c r="M54" s="8" t="n">
        <x:v>8</x:v>
      </x:c>
      <x:c r="N54" s="8" t="n">
        <x:v>7</x:v>
      </x:c>
      <x:c r="O54" s="8" t="n">
        <x:f>SUM(J54:N54)</x:f>
        <x:v>49</x:v>
      </x:c>
      <x:c r="P54" s="7" t="str">
        <x:v>Asset acquisition; operation transfer; revenue-share operation</x:v>
      </x:c>
      <x:c r="Q54" s="7" t="str">
        <x:v>Game service acquisition/operation team</x:v>
      </x:c>
      <x:c r="R54" s="7" t="str">
        <x:v>Corporate inquiry; IR</x:v>
      </x:c>
      <x:c r="S54" s="7" t="str">
        <x:v>https://mynet.co.jp/en/contact/</x:v>
      </x:c>
      <x:c r="T54" s="7" t="str">
        <x:v>Could be relevant for asset sale or operating takeover if cash need is urgent.</x:v>
      </x:c>
      <x:c r="U54" s="7" t="str">
        <x:v>Official site focuses on mobile game operation, acquisition, and title management.</x:v>
      </x:c>
      <x:c r="V54" s="7" t="str">
        <x:v>https://mynet.co.jp/en/</x:v>
      </x:c>
      <x:c r="W54" s="7" t="str">
        <x:v>https://mynet.co.jp/en/service/</x:v>
      </x:c>
      <x:c r="X54" s="7" t="str">
        <x:v>https://mynet.co.jp/en/ir/</x:v>
      </x:c>
      <x:c r="Y54" s="7" t="n">
        <x:f>COUNTA(V54:X54)</x:f>
        <x:v>3</x:v>
      </x:c>
      <x:c r="Z54" s="7" t="str">
        <x:v>Medium</x:v>
      </x:c>
      <x:c r="AA54" s="7" t="str">
        <x:v>Use as fallback if full strategic buyer path stalls.</x:v>
      </x:c>
      <x:c r="AB54" s="7" t="str">
        <x:v>Not Started</x:v>
      </x:c>
      <x:c r="AC54" s="7" t="str">
        <x:v>2026-06-02</x:v>
      </x:c>
      <x:c r="AD54" s="7" t="str"/>
      <x:c r="AE54" s="7" t="str"/>
      <x:c r="AF54" s="7" t="str">
        <x:v>上市移动游戏运营/收购公司；以接手和运营移动游戏资产为核心。</x:v>
      </x:c>
      <x:c r="AG54" s="7" t="str">
        <x:v>Mobile game operation, title acquisition/management</x:v>
      </x:c>
      <x:c r="AH54" s="7" t="str">
        <x:v>未公开商务邮箱</x:v>
      </x:c>
      <x:c r="AI54" s="7" t="str">
        <x:v>未找到公开商务邮箱；建议使用官方联系入口：https://mynet.co.jp/en/contact/</x:v>
      </x:c>
    </x:row>
    <x:row r="55">
      <x:c r="A55" s="7" t="str">
        <x:v>KR-054</x:v>
      </x:c>
      <x:c r="B55" s="7" t="str">
        <x:v>B</x:v>
      </x:c>
      <x:c r="C55" s="7" t="n">
        <x:v>54</x:v>
      </x:c>
      <x:c r="D55" s="7" t="str">
        <x:v>SHIFT UP</x:v>
      </x:c>
      <x:c r="E55" s="7" t="str">
        <x:v>Korea</x:v>
      </x:c>
      <x:c r="F55" s="7" t="str">
        <x:v>Seoul, Korea</x:v>
      </x:c>
      <x:c r="G55" s="7" t="str">
        <x:v>https://shiftup.co.kr/eng/</x:v>
      </x:c>
      <x:c r="H55" s="7" t="str">
        <x:v>Public/major developer with mobile hit</x:v>
      </x:c>
      <x:c r="I55" s="7" t="str">
        <x:v>Goddess of Victory: NIKKE, Stellar Blade; expanding self-publishing capabilities</x:v>
      </x:c>
      <x:c r="J55" s="8" t="n">
        <x:v>12</x:v>
      </x:c>
      <x:c r="K55" s="8" t="n">
        <x:v>10</x:v>
      </x:c>
      <x:c r="L55" s="8" t="n">
        <x:v>10</x:v>
      </x:c>
      <x:c r="M55" s="8" t="n">
        <x:v>12</x:v>
      </x:c>
      <x:c r="N55" s="8" t="n">
        <x:v>5</x:v>
      </x:c>
      <x:c r="O55" s="8" t="n">
        <x:f>SUM(J55:N55)</x:f>
        <x:v>49</x:v>
      </x:c>
      <x:c r="P55" s="7" t="str">
        <x:v>Strategic partnership; publishing unlikely; investment unlikely</x:v>
      </x:c>
      <x:c r="Q55" s="7" t="str">
        <x:v>Self-publishing/global business</x:v>
      </x:c>
      <x:c r="R55" s="7" t="str">
        <x:v>Corporate contact; IR</x:v>
      </x:c>
      <x:c r="S55" s="7" t="str">
        <x:v>https://shiftup.co.kr/eng/contact/</x:v>
      </x:c>
      <x:c r="T55" s="7" t="str">
        <x:v>Low fit unless seeking peer conversation or co-publishing; not a first wave target.</x:v>
      </x:c>
      <x:c r="U55" s="7" t="str">
        <x:v>Official site lists mobile/console portfolio and corporate information.</x:v>
      </x:c>
      <x:c r="V55" s="7" t="str">
        <x:v>https://shiftup.co.kr/eng/</x:v>
      </x:c>
      <x:c r="W55" s="7" t="str">
        <x:v>https://shiftup.co.kr/eng/games/</x:v>
      </x:c>
      <x:c r="X55" s="7" t="str">
        <x:v>https://shiftup.co.kr/eng/ir/</x:v>
      </x:c>
      <x:c r="Y55" s="7" t="n">
        <x:f>COUNTA(V55:X55)</x:f>
        <x:v>3</x:v>
      </x:c>
      <x:c r="Z55" s="7" t="str">
        <x:v>Medium</x:v>
      </x:c>
      <x:c r="AA55" s="7" t="str">
        <x:v>C wave; only with warm intro.</x:v>
      </x:c>
      <x:c r="AB55" s="7" t="str">
        <x:v>Not Started</x:v>
      </x:c>
      <x:c r="AC55" s="7" t="str">
        <x:v>2026-06-02</x:v>
      </x:c>
      <x:c r="AD55" s="7" t="str"/>
      <x:c r="AE55" s="7" t="str"/>
      <x:c r="AF55" s="7" t="str">
        <x:v>韩国上市/大型游戏开发商；NIKKE 与 Stellar Blade 带来全球收入规模。</x:v>
      </x:c>
      <x:c r="AG55" s="7" t="str">
        <x:v>Goddess of Victory: NIKKE, Stellar Blade; expanding self-publishing capabilities</x:v>
      </x:c>
      <x:c r="AH55" s="7" t="str">
        <x:v>未公开商务邮箱</x:v>
      </x:c>
      <x:c r="AI55" s="7" t="str">
        <x:v>未找到公开商务邮箱；建议使用官方联系入口：https://shiftup.co.kr/eng/contact/</x:v>
      </x:c>
    </x:row>
    <x:row r="56">
      <x:c r="A56" s="7" t="str">
        <x:v>KR-055</x:v>
      </x:c>
      <x:c r="B56" s="7" t="str">
        <x:v>B</x:v>
      </x:c>
      <x:c r="C56" s="7" t="n">
        <x:v>55</x:v>
      </x:c>
      <x:c r="D56" s="7" t="str">
        <x:v>Super Planet</x:v>
      </x:c>
      <x:c r="E56" s="7" t="str">
        <x:v>Korea</x:v>
      </x:c>
      <x:c r="F56" s="7" t="str">
        <x:v>Seoul, Korea</x:v>
      </x:c>
      <x:c r="G56" s="7" t="str">
        <x:v>https://superplanet.co.kr/en</x:v>
      </x:c>
      <x:c r="H56" s="7" t="str">
        <x:v>Mobile game publisher/developer</x:v>
      </x:c>
      <x:c r="I56" s="7" t="str">
        <x:v>Idle/collectible/mobile publishing portfolio</x:v>
      </x:c>
      <x:c r="J56" s="8" t="n">
        <x:v>12</x:v>
      </x:c>
      <x:c r="K56" s="8" t="n">
        <x:v>7</x:v>
      </x:c>
      <x:c r="L56" s="8" t="n">
        <x:v>15</x:v>
      </x:c>
      <x:c r="M56" s="8" t="n">
        <x:v>8</x:v>
      </x:c>
      <x:c r="N56" s="8" t="n">
        <x:v>7</x:v>
      </x:c>
      <x:c r="O56" s="8" t="n">
        <x:f>SUM(J56:N56)</x:f>
        <x:v>49</x:v>
      </x:c>
      <x:c r="P56" s="7" t="str">
        <x:v>Publishing; UA/test partnership; revenue share</x:v>
      </x:c>
      <x:c r="Q56" s="7" t="str">
        <x:v>Publishing; Business Development</x:v>
      </x:c>
      <x:c r="R56" s="7" t="str">
        <x:v>Official contact; LinkedIn</x:v>
      </x:c>
      <x:c r="S56" s="7" t="str">
        <x:v>https://superplanet.co.kr/en/contact</x:v>
      </x:c>
      <x:c r="T56" s="7" t="str">
        <x:v>Possible publisher for casual/idle-oriented mobile audiences.</x:v>
      </x:c>
      <x:c r="U56" s="7" t="str">
        <x:v>Official site lists mobile publishing and game portfolio.</x:v>
      </x:c>
      <x:c r="V56" s="7" t="str">
        <x:v>https://superplanet.co.kr/en</x:v>
      </x:c>
      <x:c r="W56" s="7" t="str">
        <x:v>https://superplanet.co.kr/en/games</x:v>
      </x:c>
      <x:c r="X56" s="7" t="str">
        <x:v>https://www.linkedin.com/company/superplanet/</x:v>
      </x:c>
      <x:c r="Y56" s="7" t="n">
        <x:f>COUNTA(V56:X56)</x:f>
        <x:v>3</x:v>
      </x:c>
      <x:c r="Z56" s="7" t="str">
        <x:v>Medium</x:v>
      </x:c>
      <x:c r="AA56" s="7" t="str">
        <x:v>B/C wave; ask for publishing review.</x:v>
      </x:c>
      <x:c r="AB56" s="7" t="str">
        <x:v>Not Started</x:v>
      </x:c>
      <x:c r="AC56" s="7" t="str">
        <x:v>2026-06-02</x:v>
      </x:c>
      <x:c r="AD56" s="7" t="str"/>
      <x:c r="AE56" s="7" t="str"/>
      <x:c r="AF56" s="7" t="str">
        <x:v>中小型游戏发行/开发公司；公开资料未披露收入，按约11-200人级工作室处理。</x:v>
      </x:c>
      <x:c r="AG56" s="7" t="str">
        <x:v>Idle/collectible/mobile publishing portfolio</x:v>
      </x:c>
      <x:c r="AH56" s="7" t="str">
        <x:v>未公开商务邮箱</x:v>
      </x:c>
      <x:c r="AI56" s="7" t="str">
        <x:v>未找到公开商务邮箱；建议使用官方联系入口：https://superplanet.co.kr/en/contact</x:v>
      </x:c>
    </x:row>
    <x:row r="57">
      <x:c r="A57" s="7" t="str">
        <x:v>JP-056</x:v>
      </x:c>
      <x:c r="B57" s="7" t="str">
        <x:v>B</x:v>
      </x:c>
      <x:c r="C57" s="7" t="n">
        <x:v>56</x:v>
      </x:c>
      <x:c r="D57" s="7" t="str">
        <x:v>AltPlus</x:v>
      </x:c>
      <x:c r="E57" s="7" t="str">
        <x:v>Japan</x:v>
      </x:c>
      <x:c r="F57" s="7" t="str">
        <x:v>Tokyo, Japan</x:v>
      </x:c>
      <x:c r="G57" s="7" t="str">
        <x:v>https://www.altplus.co.jp/en/</x:v>
      </x:c>
      <x:c r="H57" s="7" t="str">
        <x:v>Public mobile game developer/operator</x:v>
      </x:c>
      <x:c r="I57" s="7" t="str">
        <x:v>Mobile game development/operation; entertainment services</x:v>
      </x:c>
      <x:c r="J57" s="8" t="n">
        <x:v>12</x:v>
      </x:c>
      <x:c r="K57" s="8" t="n">
        <x:v>8</x:v>
      </x:c>
      <x:c r="L57" s="8" t="n">
        <x:v>12</x:v>
      </x:c>
      <x:c r="M57" s="8" t="n">
        <x:v>9</x:v>
      </x:c>
      <x:c r="N57" s="8" t="n">
        <x:v>7</x:v>
      </x:c>
      <x:c r="O57" s="8" t="n">
        <x:f>SUM(J57:N57)</x:f>
        <x:v>48</x:v>
      </x:c>
      <x:c r="P57" s="7" t="str">
        <x:v>Co-development; operation support; publishing partnership</x:v>
      </x:c>
      <x:c r="Q57" s="7" t="str">
        <x:v>Game business; Business Development</x:v>
      </x:c>
      <x:c r="R57" s="7" t="str">
        <x:v>Corporate inquiry; IR</x:v>
      </x:c>
      <x:c r="S57" s="7" t="str">
        <x:v>https://www.altplus.co.jp/en/contact/</x:v>
      </x:c>
      <x:c r="T57" s="7" t="str">
        <x:v>Better as operations/co-dev partner than strategic buyer.</x:v>
      </x:c>
      <x:c r="U57" s="7" t="str">
        <x:v>Official site covers mobile game development/operation and investor pages.</x:v>
      </x:c>
      <x:c r="V57" s="7" t="str">
        <x:v>https://www.altplus.co.jp/en/</x:v>
      </x:c>
      <x:c r="W57" s="7" t="str">
        <x:v>https://www.altplus.co.jp/en/service/</x:v>
      </x:c>
      <x:c r="X57" s="7" t="str">
        <x:v>https://www.altplus.co.jp/en/ir/</x:v>
      </x:c>
      <x:c r="Y57" s="7" t="n">
        <x:f>COUNTA(V57:X57)</x:f>
        <x:v>3</x:v>
      </x:c>
      <x:c r="Z57" s="7" t="str">
        <x:v>Medium</x:v>
      </x:c>
      <x:c r="AA57" s="7" t="str">
        <x:v>Use in second wave for operational partnership/MG.</x:v>
      </x:c>
      <x:c r="AB57" s="7" t="str">
        <x:v>Not Started</x:v>
      </x:c>
      <x:c r="AC57" s="7" t="str">
        <x:v>2026-06-02</x:v>
      </x:c>
      <x:c r="AD57" s="7" t="str"/>
      <x:c r="AE57" s="7" t="str"/>
      <x:c r="AF57" s="7" t="str">
        <x:v>上市/挂牌游戏公司；未在本轮补充精确收入，按年收入数十亿至数百亿日元/千亿韩元级处理。</x:v>
      </x:c>
      <x:c r="AG57" s="7" t="str">
        <x:v>Mobile game development/operation; entertainment services</x:v>
      </x:c>
      <x:c r="AH57" s="7" t="str">
        <x:v>未公开商务邮箱</x:v>
      </x:c>
      <x:c r="AI57" s="7" t="str">
        <x:v>未找到公开商务邮箱；建议使用官方联系入口：https://www.altplus.co.jp/en/contact/</x:v>
      </x:c>
    </x:row>
    <x:row r="58">
      <x:c r="A58" s="7" t="str">
        <x:v>JP-057</x:v>
      </x:c>
      <x:c r="B58" s="7" t="str">
        <x:v>B</x:v>
      </x:c>
      <x:c r="C58" s="7" t="n">
        <x:v>57</x:v>
      </x:c>
      <x:c r="D58" s="7" t="str">
        <x:v>Appirits</x:v>
      </x:c>
      <x:c r="E58" s="7" t="str">
        <x:v>Japan</x:v>
      </x:c>
      <x:c r="F58" s="7" t="str">
        <x:v>Tokyo, Japan</x:v>
      </x:c>
      <x:c r="G58" s="7" t="str">
        <x:v>https://appirits.com/</x:v>
      </x:c>
      <x:c r="H58" s="7" t="str">
        <x:v>Public web/game development and operation company</x:v>
      </x:c>
      <x:c r="I58" s="7" t="str">
        <x:v>Online/mobile game development and operation services</x:v>
      </x:c>
      <x:c r="J58" s="8" t="n">
        <x:v>12</x:v>
      </x:c>
      <x:c r="K58" s="8" t="n">
        <x:v>8</x:v>
      </x:c>
      <x:c r="L58" s="8" t="n">
        <x:v>12</x:v>
      </x:c>
      <x:c r="M58" s="8" t="n">
        <x:v>9</x:v>
      </x:c>
      <x:c r="N58" s="8" t="n">
        <x:v>7</x:v>
      </x:c>
      <x:c r="O58" s="8" t="n">
        <x:f>SUM(J58:N58)</x:f>
        <x:v>48</x:v>
      </x:c>
      <x:c r="P58" s="7" t="str">
        <x:v>Co-development; operation outsourcing; publishing support</x:v>
      </x:c>
      <x:c r="Q58" s="7" t="str">
        <x:v>Game service; Business Development</x:v>
      </x:c>
      <x:c r="R58" s="7" t="str">
        <x:v>Corporate inquiry</x:v>
      </x:c>
      <x:c r="S58" s="7" t="str">
        <x:v>https://appirits.com/contact/</x:v>
      </x:c>
      <x:c r="T58" s="7" t="str">
        <x:v>Operational partner candidate; not a first-call buyer.</x:v>
      </x:c>
      <x:c r="U58" s="7" t="str">
        <x:v>Official site covers game development/operation and digital services.</x:v>
      </x:c>
      <x:c r="V58" s="7" t="str">
        <x:v>https://appirits.com/</x:v>
      </x:c>
      <x:c r="W58" s="7" t="str">
        <x:v>https://appirits.com/service/game/</x:v>
      </x:c>
      <x:c r="X58" s="7" t="str">
        <x:v>https://www.appirits.co.jp/ir/</x:v>
      </x:c>
      <x:c r="Y58" s="7" t="n">
        <x:f>COUNTA(V58:X58)</x:f>
        <x:v>3</x:v>
      </x:c>
      <x:c r="Z58" s="7" t="str">
        <x:v>Medium</x:v>
      </x:c>
      <x:c r="AA58" s="7" t="str">
        <x:v>Use if you need Japan LiveOps/operation fallback.</x:v>
      </x:c>
      <x:c r="AB58" s="7" t="str">
        <x:v>Not Started</x:v>
      </x:c>
      <x:c r="AC58" s="7" t="str">
        <x:v>2026-06-02</x:v>
      </x:c>
      <x:c r="AD58" s="7" t="str"/>
      <x:c r="AE58" s="7" t="str"/>
      <x:c r="AF58" s="7" t="str">
        <x:v>上市/挂牌游戏公司；未在本轮补充精确收入，按年收入数十亿至数百亿日元/千亿韩元级处理。</x:v>
      </x:c>
      <x:c r="AG58" s="7" t="str">
        <x:v>Online/mobile game development and operation services</x:v>
      </x:c>
      <x:c r="AH58" s="7" t="str">
        <x:v>未公开商务邮箱</x:v>
      </x:c>
      <x:c r="AI58" s="7" t="str">
        <x:v>未找到公开商务邮箱；建议使用官方联系入口：https://appirits.com/contact/</x:v>
      </x:c>
    </x:row>
    <x:row r="59">
      <x:c r="A59" s="7" t="str">
        <x:v>JP-058</x:v>
      </x:c>
      <x:c r="B59" s="7" t="str">
        <x:v>B</x:v>
      </x:c>
      <x:c r="C59" s="7" t="n">
        <x:v>58</x:v>
      </x:c>
      <x:c r="D59" s="7" t="str">
        <x:v>Bank of Innovation</x:v>
      </x:c>
      <x:c r="E59" s="7" t="str">
        <x:v>Japan</x:v>
      </x:c>
      <x:c r="F59" s="7" t="str">
        <x:v>Tokyo, Japan</x:v>
      </x:c>
      <x:c r="G59" s="7" t="str">
        <x:v>https://boi.jp/en/</x:v>
      </x:c>
      <x:c r="H59" s="7" t="str">
        <x:v>Public mobile game developer</x:v>
      </x:c>
      <x:c r="I59" s="7" t="str">
        <x:v>MementoMori; mobile game development</x:v>
      </x:c>
      <x:c r="J59" s="8" t="n">
        <x:v>12</x:v>
      </x:c>
      <x:c r="K59" s="8" t="n">
        <x:v>8</x:v>
      </x:c>
      <x:c r="L59" s="8" t="n">
        <x:v>13</x:v>
      </x:c>
      <x:c r="M59" s="8" t="n">
        <x:v>9</x:v>
      </x:c>
      <x:c r="N59" s="8" t="n">
        <x:v>6</x:v>
      </x:c>
      <x:c r="O59" s="8" t="n">
        <x:f>SUM(J59:N59)</x:f>
        <x:v>48</x:v>
      </x:c>
      <x:c r="P59" s="7" t="str">
        <x:v>Publishing; co-development; strategic partnership</x:v>
      </x:c>
      <x:c r="Q59" s="7" t="str">
        <x:v>Business Development; Game Production</x:v>
      </x:c>
      <x:c r="R59" s="7" t="str">
        <x:v>Corporate inquiry; IR</x:v>
      </x:c>
      <x:c r="S59" s="7" t="str">
        <x:v>https://boi.jp/en/contact/</x:v>
      </x:c>
      <x:c r="T59" s="7" t="str">
        <x:v>Fit depends on whether they want external projects; use metrics-first.</x:v>
      </x:c>
      <x:c r="U59" s="7" t="str">
        <x:v>Official site lists mobile game business and IR/company info.</x:v>
      </x:c>
      <x:c r="V59" s="7" t="str">
        <x:v>https://boi.jp/en/</x:v>
      </x:c>
      <x:c r="W59" s="7" t="str">
        <x:v>https://boi.jp/en/service/</x:v>
      </x:c>
      <x:c r="X59" s="7" t="str">
        <x:v>https://boi.jp/en/ir/</x:v>
      </x:c>
      <x:c r="Y59" s="7" t="n">
        <x:f>COUNTA(V59:X59)</x:f>
        <x:v>3</x:v>
      </x:c>
      <x:c r="Z59" s="7" t="str">
        <x:v>Medium</x:v>
      </x:c>
      <x:c r="AA59" s="7" t="str">
        <x:v>B/C wave; ask for external publishing appetite.</x:v>
      </x:c>
      <x:c r="AB59" s="7" t="str">
        <x:v>Not Started</x:v>
      </x:c>
      <x:c r="AC59" s="7" t="str">
        <x:v>2026-06-02</x:v>
      </x:c>
      <x:c r="AD59" s="7" t="str"/>
      <x:c r="AE59" s="7" t="str"/>
      <x:c r="AF59" s="7" t="str">
        <x:v>上市/挂牌游戏公司；未在本轮补充精确收入，按年收入数十亿至数百亿日元/千亿韩元级处理。</x:v>
      </x:c>
      <x:c r="AG59" s="7" t="str">
        <x:v>MementoMori; mobile game development</x:v>
      </x:c>
      <x:c r="AH59" s="7" t="str">
        <x:v>未公开商务邮箱</x:v>
      </x:c>
      <x:c r="AI59" s="7" t="str">
        <x:v>未找到公开商务邮箱；建议使用官方联系入口：https://boi.jp/en/contact/</x:v>
      </x:c>
    </x:row>
    <x:row r="60">
      <x:c r="A60" s="7" t="str">
        <x:v>JP-059</x:v>
      </x:c>
      <x:c r="B60" s="7" t="str">
        <x:v>B</x:v>
      </x:c>
      <x:c r="C60" s="7" t="n">
        <x:v>59</x:v>
      </x:c>
      <x:c r="D60" s="7" t="str">
        <x:v>EXNOA / DMM GAMES</x:v>
      </x:c>
      <x:c r="E60" s="7" t="str">
        <x:v>Japan</x:v>
      </x:c>
      <x:c r="F60" s="7" t="str">
        <x:v>Tokyo, Japan</x:v>
      </x:c>
      <x:c r="G60" s="7" t="str">
        <x:v>https://games.dmm.com/</x:v>
      </x:c>
      <x:c r="H60" s="7" t="str">
        <x:v>DMM game platform/publisher</x:v>
      </x:c>
      <x:c r="I60" s="7" t="str">
        <x:v>DMM GAMES platform, EXNOA operations, PC/mobile browser game distribution</x:v>
      </x:c>
      <x:c r="J60" s="8" t="n">
        <x:v>12</x:v>
      </x:c>
      <x:c r="K60" s="8" t="n">
        <x:v>8</x:v>
      </x:c>
      <x:c r="L60" s="8" t="n">
        <x:v>11</x:v>
      </x:c>
      <x:c r="M60" s="8" t="n">
        <x:v>10</x:v>
      </x:c>
      <x:c r="N60" s="8" t="n">
        <x:v>7</x:v>
      </x:c>
      <x:c r="O60" s="8" t="n">
        <x:f>SUM(J60:N60)</x:f>
        <x:v>48</x:v>
      </x:c>
      <x:c r="P60" s="7" t="str">
        <x:v>Distribution; publishing; Japan platform partnership</x:v>
      </x:c>
      <x:c r="Q60" s="7" t="str">
        <x:v>EXNOA/DMM GAMES business development</x:v>
      </x:c>
      <x:c r="R60" s="7" t="str">
        <x:v>Corporate inquiry; DMM contact</x:v>
      </x:c>
      <x:c r="S60" s="7" t="str">
        <x:v>https://dmm-corp.com/contact/</x:v>
      </x:c>
      <x:c r="T60" s="7" t="str">
        <x:v>Useful for Japan distribution/operation, less for acquisition.</x:v>
      </x:c>
      <x:c r="U60" s="7" t="str">
        <x:v>Official DMM/EXNOA pages describe game platform and services.</x:v>
      </x:c>
      <x:c r="V60" s="7" t="str">
        <x:v>https://games.dmm.com/</x:v>
      </x:c>
      <x:c r="W60" s="7" t="str">
        <x:v>https://dmm-corp.com/company/</x:v>
      </x:c>
      <x:c r="X60" s="7" t="str">
        <x:v>https://dmm-corp.com/business/</x:v>
      </x:c>
      <x:c r="Y60" s="7" t="n">
        <x:f>COUNTA(V60:X60)</x:f>
        <x:v>3</x:v>
      </x:c>
      <x:c r="Z60" s="7" t="str">
        <x:v>Medium</x:v>
      </x:c>
      <x:c r="AA60" s="7" t="str">
        <x:v>Use if Japan distribution/platform is valuable.</x:v>
      </x:c>
      <x:c r="AB60" s="7" t="str">
        <x:v>Not Started</x:v>
      </x:c>
      <x:c r="AC60" s="7" t="str">
        <x:v>2026-06-02</x:v>
      </x:c>
      <x:c r="AD60" s="7" t="str"/>
      <x:c r="AE60" s="7" t="str"/>
      <x:c r="AF60" s="7" t="str">
        <x:v>平台/发行渠道型公司；业务体量通常高于单一工作室，按中型发行渠道处理。</x:v>
      </x:c>
      <x:c r="AG60" s="7" t="str">
        <x:v>DMM GAMES platform, EXNOA operations, PC/mobile browser game distribution</x:v>
      </x:c>
      <x:c r="AH60" s="7" t="str">
        <x:v>未公开商务邮箱</x:v>
      </x:c>
      <x:c r="AI60" s="7" t="str">
        <x:v>未找到公开商务邮箱；建议使用官方联系入口：https://dmm-corp.com/contact/</x:v>
      </x:c>
    </x:row>
    <x:row r="61">
      <x:c r="A61" s="7" t="str">
        <x:v>JP-060</x:v>
      </x:c>
      <x:c r="B61" s="7" t="str">
        <x:v>B</x:v>
      </x:c>
      <x:c r="C61" s="7" t="n">
        <x:v>60</x:v>
      </x:c>
      <x:c r="D61" s="7" t="str">
        <x:v>Yostar Japan</x:v>
      </x:c>
      <x:c r="E61" s="7" t="str">
        <x:v>Japan</x:v>
      </x:c>
      <x:c r="F61" s="7" t="str">
        <x:v>Tokyo, Japan</x:v>
      </x:c>
      <x:c r="G61" s="7" t="str">
        <x:v>https://www.yostar.co.jp/</x:v>
      </x:c>
      <x:c r="H61" s="7" t="str">
        <x:v>Japan-based mobile game publisher/operator</x:v>
      </x:c>
      <x:c r="I61" s="7" t="str">
        <x:v>Azur Lane, Arknights, Blue Archive Japan publishing/operation</x:v>
      </x:c>
      <x:c r="J61" s="8" t="n">
        <x:v>11</x:v>
      </x:c>
      <x:c r="K61" s="8" t="n">
        <x:v>7</x:v>
      </x:c>
      <x:c r="L61" s="8" t="n">
        <x:v>14</x:v>
      </x:c>
      <x:c r="M61" s="8" t="n">
        <x:v>10</x:v>
      </x:c>
      <x:c r="N61" s="8" t="n">
        <x:v>6</x:v>
      </x:c>
      <x:c r="O61" s="8" t="n">
        <x:f>SUM(J61:N61)</x:f>
        <x:v>48</x:v>
      </x:c>
      <x:c r="P61" s="7" t="str">
        <x:v>Japan publishing; localization; operation partnership</x:v>
      </x:c>
      <x:c r="Q61" s="7" t="str">
        <x:v>Business Development; Publishing; Operations</x:v>
      </x:c>
      <x:c r="R61" s="7" t="str">
        <x:v>Official contact/corporate site; LinkedIn</x:v>
      </x:c>
      <x:c r="S61" s="7" t="str">
        <x:v>https://www.yostar.co.jp/</x:v>
      </x:c>
      <x:c r="T61" s="7" t="str">
        <x:v>A Japan publishing/operator option if the game has strong anime/cozy visuals or needs Japan market operation.</x:v>
      </x:c>
      <x:c r="U61" s="7" t="str">
        <x:v>Official site lists Japan mobile publishing and operated titles; company profiles verify publisher role.</x:v>
      </x:c>
      <x:c r="V61" s="7" t="str">
        <x:v>https://www.yostar.co.jp/</x:v>
      </x:c>
      <x:c r="W61" s="7" t="str">
        <x:v>https://www.yostar.co.jp/games/</x:v>
      </x:c>
      <x:c r="X61" s="7" t="str">
        <x:v>https://www.linkedin.com/company/yostar/</x:v>
      </x:c>
      <x:c r="Y61" s="7" t="n">
        <x:f>COUNTA(V61:X61)</x:f>
        <x:v>3</x:v>
      </x:c>
      <x:c r="Z61" s="7" t="str">
        <x:v>Medium</x:v>
      </x:c>
      <x:c r="AA61" s="7" t="str">
        <x:v>C/B wave; use if Japan-market publishing is a priority.</x:v>
      </x:c>
      <x:c r="AB61" s="7" t="str">
        <x:v>Not Started</x:v>
      </x:c>
      <x:c r="AC61" s="7" t="str">
        <x:v>2026-06-02</x:v>
      </x:c>
      <x:c r="AD61" s="7" t="str"/>
      <x:c r="AE61" s="7" t="str"/>
      <x:c r="AF61" s="7" t="str">
        <x:v>中小型游戏发行/开发公司；公开资料未披露收入，按约11-200人级工作室处理。</x:v>
      </x:c>
      <x:c r="AG61" s="7" t="str">
        <x:v>Azur Lane, Arknights, Blue Archive Japan publishing/operation</x:v>
      </x:c>
      <x:c r="AH61" s="7" t="str">
        <x:v>未公开商务邮箱</x:v>
      </x:c>
      <x:c r="AI61" s="7" t="str">
        <x:v>未找到公开商务邮箱；建议使用官方联系入口：https://www.yostar.co.jp/</x:v>
      </x:c>
    </x:row>
    <x:row r="62">
      <x:c r="A62" s="7" t="str">
        <x:v>KR-061</x:v>
      </x:c>
      <x:c r="B62" s="7" t="str">
        <x:v>C</x:v>
      </x:c>
      <x:c r="C62" s="7" t="n">
        <x:v>61</x:v>
      </x:c>
      <x:c r="D62" s="7" t="str">
        <x:v>LoadComplete</x:v>
      </x:c>
      <x:c r="E62" s="7" t="str">
        <x:v>Korea</x:v>
      </x:c>
      <x:c r="F62" s="7" t="str">
        <x:v>Seoul, Korea</x:v>
      </x:c>
      <x:c r="G62" s="7" t="str">
        <x:v>https://loadcomplete.com/</x:v>
      </x:c>
      <x:c r="H62" s="7" t="str">
        <x:v>Mobile game developer/publisher</x:v>
      </x:c>
      <x:c r="I62" s="7" t="str">
        <x:v>Crusaders Quest, Goddess Order; mobile game development</x:v>
      </x:c>
      <x:c r="J62" s="8" t="n">
        <x:v>12</x:v>
      </x:c>
      <x:c r="K62" s="8" t="n">
        <x:v>7</x:v>
      </x:c>
      <x:c r="L62" s="8" t="n">
        <x:v>12</x:v>
      </x:c>
      <x:c r="M62" s="8" t="n">
        <x:v>8</x:v>
      </x:c>
      <x:c r="N62" s="8" t="n">
        <x:v>7</x:v>
      </x:c>
      <x:c r="O62" s="8" t="n">
        <x:f>SUM(J62:N62)</x:f>
        <x:v>46</x:v>
      </x:c>
      <x:c r="P62" s="7" t="str">
        <x:v>Co-development; publishing; investment-light partnership</x:v>
      </x:c>
      <x:c r="Q62" s="7" t="str">
        <x:v>Business Development; Game Production</x:v>
      </x:c>
      <x:c r="R62" s="7" t="str">
        <x:v>Official contact; LinkedIn</x:v>
      </x:c>
      <x:c r="S62" s="7" t="str">
        <x:v>https://loadcomplete.com/contact</x:v>
      </x:c>
      <x:c r="T62" s="7" t="str">
        <x:v>Smaller studio/publisher; useful for partnership or acqui-hire path.</x:v>
      </x:c>
      <x:c r="U62" s="7" t="str">
        <x:v>Official site lists mobile game portfolio and company profile.</x:v>
      </x:c>
      <x:c r="V62" s="7" t="str">
        <x:v>https://loadcomplete.com/</x:v>
      </x:c>
      <x:c r="W62" s="7" t="str">
        <x:v>https://loadcomplete.com/games</x:v>
      </x:c>
      <x:c r="X62" s="7" t="str">
        <x:v>https://www.linkedin.com/company/loadcomplete/</x:v>
      </x:c>
      <x:c r="Y62" s="7" t="n">
        <x:f>COUNTA(V62:X62)</x:f>
        <x:v>3</x:v>
      </x:c>
      <x:c r="Z62" s="7" t="str">
        <x:v>Medium</x:v>
      </x:c>
      <x:c r="AA62" s="7" t="str">
        <x:v>C/B wave; ask only after higher-capacity publishers.</x:v>
      </x:c>
      <x:c r="AB62" s="7" t="str">
        <x:v>Not Started</x:v>
      </x:c>
      <x:c r="AC62" s="7" t="str">
        <x:v>2026-06-02</x:v>
      </x:c>
      <x:c r="AD62" s="7" t="str"/>
      <x:c r="AE62" s="7" t="str"/>
      <x:c r="AF62" s="7" t="str">
        <x:v>中小型游戏发行/开发公司；公开资料未披露收入，按约11-200人级工作室处理。</x:v>
      </x:c>
      <x:c r="AG62" s="7" t="str">
        <x:v>Crusaders Quest, Goddess Order; mobile game development</x:v>
      </x:c>
      <x:c r="AH62" s="7" t="str">
        <x:v>未公开商务邮箱</x:v>
      </x:c>
      <x:c r="AI62" s="7" t="str">
        <x:v>未找到公开商务邮箱；建议使用官方联系入口：https://loadcomplete.com/contact</x:v>
      </x:c>
    </x:row>
    <x:row r="63">
      <x:c r="A63" s="7" t="str">
        <x:v>KR-062</x:v>
      </x:c>
      <x:c r="B63" s="7" t="str">
        <x:v>C</x:v>
      </x:c>
      <x:c r="C63" s="7" t="n">
        <x:v>62</x:v>
      </x:c>
      <x:c r="D63" s="7" t="str">
        <x:v>NPIXEL</x:v>
      </x:c>
      <x:c r="E63" s="7" t="str">
        <x:v>Korea</x:v>
      </x:c>
      <x:c r="F63" s="7" t="str">
        <x:v>Seoul, Korea</x:v>
      </x:c>
      <x:c r="G63" s="7" t="str">
        <x:v>https://npixel.co.kr/en</x:v>
      </x:c>
      <x:c r="H63" s="7" t="str">
        <x:v>Private game developer/publisher</x:v>
      </x:c>
      <x:c r="I63" s="7" t="str">
        <x:v>Gran Saga; Chrono Odyssey; mobile/PC/console ambitions</x:v>
      </x:c>
      <x:c r="J63" s="8" t="n">
        <x:v>12</x:v>
      </x:c>
      <x:c r="K63" s="8" t="n">
        <x:v>9</x:v>
      </x:c>
      <x:c r="L63" s="8" t="n">
        <x:v>9</x:v>
      </x:c>
      <x:c r="M63" s="8" t="n">
        <x:v>10</x:v>
      </x:c>
      <x:c r="N63" s="8" t="n">
        <x:v>6</x:v>
      </x:c>
      <x:c r="O63" s="8" t="n">
        <x:f>SUM(J63:N63)</x:f>
        <x:v>46</x:v>
      </x:c>
      <x:c r="P63" s="7" t="str">
        <x:v>Publishing; co-development; strategic partnership</x:v>
      </x:c>
      <x:c r="Q63" s="7" t="str">
        <x:v>Global Business; Business Development</x:v>
      </x:c>
      <x:c r="R63" s="7" t="str">
        <x:v>Corporate contact; LinkedIn</x:v>
      </x:c>
      <x:c r="S63" s="7" t="str">
        <x:v>https://npixel.co.kr/en/contact</x:v>
      </x:c>
      <x:c r="T63" s="7" t="str">
        <x:v>Genre fit is modest; possible if they seek revenue-diversifying mobile products.</x:v>
      </x:c>
      <x:c r="U63" s="7" t="str">
        <x:v>Official site lists game portfolio and company info.</x:v>
      </x:c>
      <x:c r="V63" s="7" t="str">
        <x:v>https://npixel.co.kr/en</x:v>
      </x:c>
      <x:c r="W63" s="7" t="str">
        <x:v>https://npixel.co.kr/en/games</x:v>
      </x:c>
      <x:c r="X63" s="7" t="str">
        <x:v>https://www.linkedin.com/company/npixel/</x:v>
      </x:c>
      <x:c r="Y63" s="7" t="n">
        <x:f>COUNTA(V63:X63)</x:f>
        <x:v>3</x:v>
      </x:c>
      <x:c r="Z63" s="7" t="str">
        <x:v>Medium</x:v>
      </x:c>
      <x:c r="AA63" s="7" t="str">
        <x:v>C/B wave; use only after casual-first companies.</x:v>
      </x:c>
      <x:c r="AB63" s="7" t="str">
        <x:v>Not Started</x:v>
      </x:c>
      <x:c r="AC63" s="7" t="str">
        <x:v>2026-06-02</x:v>
      </x:c>
      <x:c r="AD63" s="7" t="str"/>
      <x:c r="AE63" s="7" t="str"/>
      <x:c r="AF63" s="7" t="str">
        <x:v>民营游戏公司；公开公司资料常见规模约51-200人级。</x:v>
      </x:c>
      <x:c r="AG63" s="7" t="str">
        <x:v>Gran Saga; Chrono Odyssey; mobile/PC/console ambitions</x:v>
      </x:c>
      <x:c r="AH63" s="7" t="str">
        <x:v>business@npixel.co.kr</x:v>
      </x:c>
      <x:c r="AI63" s="7" t="str">
        <x:v>官网根页面公开 business 邮箱；同页 npixel@/privacy@/recruit@ 未作为BD首选。</x:v>
      </x:c>
    </x:row>
    <x:row r="64">
      <x:c r="A64" s="7" t="str">
        <x:v>JP-063</x:v>
      </x:c>
      <x:c r="B64" s="7" t="str">
        <x:v>C</x:v>
      </x:c>
      <x:c r="C64" s="7" t="n">
        <x:v>63</x:v>
      </x:c>
      <x:c r="D64" s="7" t="str">
        <x:v>CYBIRD</x:v>
      </x:c>
      <x:c r="E64" s="7" t="str">
        <x:v>Japan</x:v>
      </x:c>
      <x:c r="F64" s="7" t="str">
        <x:v>Tokyo, Japan</x:v>
      </x:c>
      <x:c r="G64" s="7" t="str">
        <x:v>https://www.cybird.co.jp/en/</x:v>
      </x:c>
      <x:c r="H64" s="7" t="str">
        <x:v>Mobile content/game company</x:v>
      </x:c>
      <x:c r="I64" s="7" t="str">
        <x:v>Ikemen Series; mobile entertainment and IP content</x:v>
      </x:c>
      <x:c r="J64" s="8" t="n">
        <x:v>11</x:v>
      </x:c>
      <x:c r="K64" s="8" t="n">
        <x:v>7</x:v>
      </x:c>
      <x:c r="L64" s="8" t="n">
        <x:v>12</x:v>
      </x:c>
      <x:c r="M64" s="8" t="n">
        <x:v>8</x:v>
      </x:c>
      <x:c r="N64" s="8" t="n">
        <x:v>7</x:v>
      </x:c>
      <x:c r="O64" s="8" t="n">
        <x:f>SUM(J64:N64)</x:f>
        <x:v>45</x:v>
      </x:c>
      <x:c r="P64" s="7" t="str">
        <x:v>Publishing; Japan localization; co-development</x:v>
      </x:c>
      <x:c r="Q64" s="7" t="str">
        <x:v>Game/content business; BD</x:v>
      </x:c>
      <x:c r="R64" s="7" t="str">
        <x:v>Corporate inquiry</x:v>
      </x:c>
      <x:c r="S64" s="7" t="str">
        <x:v>https://www.cybird.co.jp/en/contact/</x:v>
      </x:c>
      <x:c r="T64" s="7" t="str">
        <x:v>Niche fit unless female/cozy audience overlap is strong.</x:v>
      </x:c>
      <x:c r="U64" s="7" t="str">
        <x:v>Official site lists mobile content and game services.</x:v>
      </x:c>
      <x:c r="V64" s="7" t="str">
        <x:v>https://www.cybird.co.jp/en/</x:v>
      </x:c>
      <x:c r="W64" s="7" t="str">
        <x:v>https://www.cybird.co.jp/en/service/</x:v>
      </x:c>
      <x:c r="X64" s="7" t="str">
        <x:v>https://www.cybird.co.jp/en/company/</x:v>
      </x:c>
      <x:c r="Y64" s="7" t="n">
        <x:f>COUNTA(V64:X64)</x:f>
        <x:v>3</x:v>
      </x:c>
      <x:c r="Z64" s="7" t="str">
        <x:v>Medium</x:v>
      </x:c>
      <x:c r="AA64" s="7" t="str">
        <x:v>Use only after audience overlap check.</x:v>
      </x:c>
      <x:c r="AB64" s="7" t="str">
        <x:v>Not Started</x:v>
      </x:c>
      <x:c r="AC64" s="7" t="str">
        <x:v>2026-06-02</x:v>
      </x:c>
      <x:c r="AD64" s="7" t="str"/>
      <x:c r="AE64" s="7" t="str"/>
      <x:c r="AF64" s="7" t="str">
        <x:v>中小型游戏发行/开发公司；公开资料未披露收入，按约11-200人级工作室处理。</x:v>
      </x:c>
      <x:c r="AG64" s="7" t="str">
        <x:v>Ikemen Series; mobile entertainment and IP content</x:v>
      </x:c>
      <x:c r="AH64" s="7" t="str">
        <x:v>otoiawase@cybird.co.jp</x:v>
      </x:c>
      <x:c r="AI64" s="7" t="str">
        <x:v>官网 Contact 页面公开日文 inquiry 邮箱；适合作为日本本地化/商务转接入口。</x:v>
      </x:c>
    </x:row>
    <x:row r="65">
      <x:c r="A65" s="7" t="str">
        <x:v>JP-064</x:v>
      </x:c>
      <x:c r="B65" s="7" t="str">
        <x:v>C</x:v>
      </x:c>
      <x:c r="C65" s="7" t="n">
        <x:v>64</x:v>
      </x:c>
      <x:c r="D65" s="7" t="str">
        <x:v>DONUTS</x:v>
      </x:c>
      <x:c r="E65" s="7" t="str">
        <x:v>Japan</x:v>
      </x:c>
      <x:c r="F65" s="7" t="str">
        <x:v>Tokyo, Japan</x:v>
      </x:c>
      <x:c r="G65" s="7" t="str">
        <x:v>https://www.donuts.ne.jp/</x:v>
      </x:c>
      <x:c r="H65" s="7" t="str">
        <x:v>Private internet/game company</x:v>
      </x:c>
      <x:c r="I65" s="7" t="str">
        <x:v>Tokyo 7th Sisters, D4DJ Groovy Mix operation; mobile apps/games</x:v>
      </x:c>
      <x:c r="J65" s="8" t="n">
        <x:v>11</x:v>
      </x:c>
      <x:c r="K65" s="8" t="n">
        <x:v>7</x:v>
      </x:c>
      <x:c r="L65" s="8" t="n">
        <x:v>12</x:v>
      </x:c>
      <x:c r="M65" s="8" t="n">
        <x:v>8</x:v>
      </x:c>
      <x:c r="N65" s="8" t="n">
        <x:v>7</x:v>
      </x:c>
      <x:c r="O65" s="8" t="n">
        <x:f>SUM(J65:N65)</x:f>
        <x:v>45</x:v>
      </x:c>
      <x:c r="P65" s="7" t="str">
        <x:v>Publishing; co-development; Japan operation</x:v>
      </x:c>
      <x:c r="Q65" s="7" t="str">
        <x:v>Game business; BD</x:v>
      </x:c>
      <x:c r="R65" s="7" t="str">
        <x:v>Corporate inquiry</x:v>
      </x:c>
      <x:c r="S65" s="7" t="str">
        <x:v>https://www.donuts.ne.jp/contact/</x:v>
      </x:c>
      <x:c r="T65" s="7" t="str">
        <x:v>Mid-market Japan operator; possible partner if seeking Japan launch support.</x:v>
      </x:c>
      <x:c r="U65" s="7" t="str">
        <x:v>Official site lists game and app businesses.</x:v>
      </x:c>
      <x:c r="V65" s="7" t="str">
        <x:v>https://www.donuts.ne.jp/</x:v>
      </x:c>
      <x:c r="W65" s="7" t="str">
        <x:v>https://www.donuts.ne.jp/products/</x:v>
      </x:c>
      <x:c r="X65" s="7" t="str">
        <x:v>https://www.donuts.ne.jp/company/</x:v>
      </x:c>
      <x:c r="Y65" s="7" t="n">
        <x:f>COUNTA(V65:X65)</x:f>
        <x:v>3</x:v>
      </x:c>
      <x:c r="Z65" s="7" t="str">
        <x:v>Medium</x:v>
      </x:c>
      <x:c r="AA65" s="7" t="str">
        <x:v>Include in B/C batch; ask for publishing/operation discussion.</x:v>
      </x:c>
      <x:c r="AB65" s="7" t="str">
        <x:v>Not Started</x:v>
      </x:c>
      <x:c r="AC65" s="7" t="str">
        <x:v>2026-06-02</x:v>
      </x:c>
      <x:c r="AD65" s="7" t="str"/>
      <x:c r="AE65" s="7" t="str"/>
      <x:c r="AF65" s="7" t="str">
        <x:v>民营游戏公司；公开公司资料常见规模约51-200人级。</x:v>
      </x:c>
      <x:c r="AG65" s="7" t="str">
        <x:v>Tokyo 7th Sisters, D4DJ Groovy Mix operation; mobile apps/games</x:v>
      </x:c>
      <x:c r="AH65" s="7" t="str">
        <x:v>未公开商务邮箱</x:v>
      </x:c>
      <x:c r="AI65" s="7" t="str">
        <x:v>未找到公开商务邮箱；建议使用官方联系入口：https://www.donuts.ne.jp/contact/</x:v>
      </x:c>
    </x:row>
    <x:row r="66">
      <x:c r="A66" s="7" t="str">
        <x:v>JP-065</x:v>
      </x:c>
      <x:c r="B66" s="7" t="str">
        <x:v>C</x:v>
      </x:c>
      <x:c r="C66" s="7" t="n">
        <x:v>65</x:v>
      </x:c>
      <x:c r="D66" s="7" t="str">
        <x:v>WonderPlanet</x:v>
      </x:c>
      <x:c r="E66" s="7" t="str">
        <x:v>Japan</x:v>
      </x:c>
      <x:c r="F66" s="7" t="str">
        <x:v>Nagoya/Tokyo, Japan</x:v>
      </x:c>
      <x:c r="G66" s="7" t="str">
        <x:v>https://wonderpla.net/en/</x:v>
      </x:c>
      <x:c r="H66" s="7" t="str">
        <x:v>Public mobile game developer/publisher</x:v>
      </x:c>
      <x:c r="I66" s="7" t="str">
        <x:v>Crash Fever, Alice Fiction; mobile entertainment</x:v>
      </x:c>
      <x:c r="J66" s="8" t="n">
        <x:v>11</x:v>
      </x:c>
      <x:c r="K66" s="8" t="n">
        <x:v>7</x:v>
      </x:c>
      <x:c r="L66" s="8" t="n">
        <x:v>12</x:v>
      </x:c>
      <x:c r="M66" s="8" t="n">
        <x:v>8</x:v>
      </x:c>
      <x:c r="N66" s="8" t="n">
        <x:v>7</x:v>
      </x:c>
      <x:c r="O66" s="8" t="n">
        <x:f>SUM(J66:N66)</x:f>
        <x:v>45</x:v>
      </x:c>
      <x:c r="P66" s="7" t="str">
        <x:v>Publishing; co-development; asset deal</x:v>
      </x:c>
      <x:c r="Q66" s="7" t="str">
        <x:v>Business Development; Game Production</x:v>
      </x:c>
      <x:c r="R66" s="7" t="str">
        <x:v>Corporate inquiry; IR</x:v>
      </x:c>
      <x:c r="S66" s="7" t="str">
        <x:v>https://wonderpla.net/en/contact/</x:v>
      </x:c>
      <x:c r="T66" s="7" t="str">
        <x:v>Mid-market mobile publisher/operator with possible appetite for proven external product.</x:v>
      </x:c>
      <x:c r="U66" s="7" t="str">
        <x:v>Official site lists mobile game portfolio and IR/company details.</x:v>
      </x:c>
      <x:c r="V66" s="7" t="str">
        <x:v>https://wonderpla.net/en/</x:v>
      </x:c>
      <x:c r="W66" s="7" t="str">
        <x:v>https://wonderpla.net/en/service/</x:v>
      </x:c>
      <x:c r="X66" s="7" t="str">
        <x:v>https://wonderpla.net/en/ir/</x:v>
      </x:c>
      <x:c r="Y66" s="7" t="n">
        <x:f>COUNTA(V66:X66)</x:f>
        <x:v>3</x:v>
      </x:c>
      <x:c r="Z66" s="7" t="str">
        <x:v>Medium</x:v>
      </x:c>
      <x:c r="AA66" s="7" t="str">
        <x:v>Include in second/third wave.</x:v>
      </x:c>
      <x:c r="AB66" s="7" t="str">
        <x:v>Not Started</x:v>
      </x:c>
      <x:c r="AC66" s="7" t="str">
        <x:v>2026-06-02</x:v>
      </x:c>
      <x:c r="AD66" s="7" t="str"/>
      <x:c r="AE66" s="7" t="str"/>
      <x:c r="AF66" s="7" t="str">
        <x:v>上市/挂牌游戏公司；未在本轮补充精确收入，按年收入数十亿至数百亿日元/千亿韩元级处理。</x:v>
      </x:c>
      <x:c r="AG66" s="7" t="str">
        <x:v>Crash Fever, Alice Fiction; mobile entertainment</x:v>
      </x:c>
      <x:c r="AH66" s="7" t="str">
        <x:v>未公开商务邮箱</x:v>
      </x:c>
      <x:c r="AI66" s="7" t="str">
        <x:v>未找到公开商务邮箱；建议使用官方联系入口：https://wonderpla.net/en/contact/</x:v>
      </x:c>
    </x:row>
    <x:row r="67">
      <x:c r="A67" s="7" t="str">
        <x:v>KR-066</x:v>
      </x:c>
      <x:c r="B67" s="7" t="str">
        <x:v>C</x:v>
      </x:c>
      <x:c r="C67" s="7" t="n">
        <x:v>66</x:v>
      </x:c>
      <x:c r="D67" s="7" t="str">
        <x:v>AlohaFactory</x:v>
      </x:c>
      <x:c r="E67" s="7" t="str">
        <x:v>Korea</x:v>
      </x:c>
      <x:c r="F67" s="7" t="str">
        <x:v>Seoul, Korea</x:v>
      </x:c>
      <x:c r="G67" s="7" t="str">
        <x:v>https://alohafactory.co.kr/</x:v>
      </x:c>
      <x:c r="H67" s="7" t="str">
        <x:v>Hypercasual/casual mobile developer</x:v>
      </x:c>
      <x:c r="I67" s="7" t="str">
        <x:v>Casual mobile game production; investor-backed hypercasual studio</x:v>
      </x:c>
      <x:c r="J67" s="8" t="n">
        <x:v>11</x:v>
      </x:c>
      <x:c r="K67" s="8" t="n">
        <x:v>6</x:v>
      </x:c>
      <x:c r="L67" s="8" t="n">
        <x:v>16</x:v>
      </x:c>
      <x:c r="M67" s="8" t="n">
        <x:v>6</x:v>
      </x:c>
      <x:c r="N67" s="8" t="n">
        <x:v>6</x:v>
      </x:c>
      <x:c r="O67" s="8" t="n">
        <x:f>SUM(J67:N67)</x:f>
        <x:v>45</x:v>
      </x:c>
      <x:c r="P67" s="7" t="str">
        <x:v>Publishing feedback; UA collaboration; peer partnership</x:v>
      </x:c>
      <x:c r="Q67" s="7" t="str">
        <x:v>Business Development; Studio leadership</x:v>
      </x:c>
      <x:c r="R67" s="7" t="str">
        <x:v>Official contact; LinkedIn</x:v>
      </x:c>
      <x:c r="S67" s="7" t="str">
        <x:v>https://alohafactory.co.kr/</x:v>
      </x:c>
      <x:c r="T67" s="7" t="str">
        <x:v>Useful for casual benchmark or partner intro; not likely buyer.</x:v>
      </x:c>
      <x:c r="U67" s="7" t="str">
        <x:v>Official site and investor sources describe casual/hypercasual game production.</x:v>
      </x:c>
      <x:c r="V67" s="7" t="str">
        <x:v>https://alohafactory.co.kr/</x:v>
      </x:c>
      <x:c r="W67" s="7" t="str">
        <x:v>https://partners.koreainvestment.com/file/download/media/1954364541_SWVExvYU_091564f527ea0b09bc3a9f5ae05e755b198e303d.pdf</x:v>
      </x:c>
      <x:c r="X67" s="7" t="str">
        <x:v>https://www.linkedin.com/company/aloha-factory/</x:v>
      </x:c>
      <x:c r="Y67" s="7" t="n">
        <x:f>COUNTA(V67:X67)</x:f>
        <x:v>3</x:v>
      </x:c>
      <x:c r="Z67" s="7" t="str">
        <x:v>Medium</x:v>
      </x:c>
      <x:c r="AA67" s="7" t="str">
        <x:v>C wave; use for ecosystem intros.</x:v>
      </x:c>
      <x:c r="AB67" s="7" t="str">
        <x:v>Not Started</x:v>
      </x:c>
      <x:c r="AC67" s="7" t="str">
        <x:v>2026-06-02</x:v>
      </x:c>
      <x:c r="AD67" s="7" t="str"/>
      <x:c r="AE67" s="7" t="str"/>
      <x:c r="AF67" s="7" t="str">
        <x:v>中小型休闲手游公司；公开公司资料常见规模约51-200人级。</x:v>
      </x:c>
      <x:c r="AG67" s="7" t="str">
        <x:v>Casual mobile game production; investor-backed hypercasual studio</x:v>
      </x:c>
      <x:c r="AH67" s="7" t="str">
        <x:v>未公开商务邮箱</x:v>
      </x:c>
      <x:c r="AI67" s="7" t="str">
        <x:v>未找到公开商务邮箱；建议使用官方联系入口：https://alohafactory.co.kr/</x:v>
      </x:c>
    </x:row>
    <x:row r="68">
      <x:c r="A68" s="7" t="str">
        <x:v>KR-067</x:v>
      </x:c>
      <x:c r="B68" s="7" t="str">
        <x:v>C</x:v>
      </x:c>
      <x:c r="C68" s="7" t="n">
        <x:v>67</x:v>
      </x:c>
      <x:c r="D68" s="7" t="str">
        <x:v>Dreamplay Games</x:v>
      </x:c>
      <x:c r="E68" s="7" t="str">
        <x:v>Korea</x:v>
      </x:c>
      <x:c r="F68" s="7" t="str">
        <x:v>Seoul, Korea</x:v>
      </x:c>
      <x:c r="G68" s="7" t="str">
        <x:v>https://dreamplaygames.co.kr/</x:v>
      </x:c>
      <x:c r="H68" s="7" t="str">
        <x:v>Mobile game publisher/developer</x:v>
      </x:c>
      <x:c r="I68" s="7" t="str">
        <x:v>Casual/mobile publishing catalog; global app store releases</x:v>
      </x:c>
      <x:c r="J68" s="8" t="n">
        <x:v>10</x:v>
      </x:c>
      <x:c r="K68" s="8" t="n">
        <x:v>6</x:v>
      </x:c>
      <x:c r="L68" s="8" t="n">
        <x:v>14</x:v>
      </x:c>
      <x:c r="M68" s="8" t="n">
        <x:v>7</x:v>
      </x:c>
      <x:c r="N68" s="8" t="n">
        <x:v>6</x:v>
      </x:c>
      <x:c r="O68" s="8" t="n">
        <x:f>SUM(J68:N68)</x:f>
        <x:v>43</x:v>
      </x:c>
      <x:c r="P68" s="7" t="str">
        <x:v>Publishing; revenue share; Korea/global distribution</x:v>
      </x:c>
      <x:c r="Q68" s="7" t="str">
        <x:v>Publishing; Business Development</x:v>
      </x:c>
      <x:c r="R68" s="7" t="str">
        <x:v>Official contact; LinkedIn</x:v>
      </x:c>
      <x:c r="S68" s="7" t="str">
        <x:v>https://dreamplaygames.co.kr/</x:v>
      </x:c>
      <x:c r="T68" s="7" t="str">
        <x:v>Small publisher candidate for tactical distribution, not strategic buyer.</x:v>
      </x:c>
      <x:c r="U68" s="7" t="str">
        <x:v>Official site and app publisher profiles show mobile game publishing.</x:v>
      </x:c>
      <x:c r="V68" s="7" t="str">
        <x:v>https://dreamplaygames.co.kr/</x:v>
      </x:c>
      <x:c r="W68" s="7" t="str">
        <x:v>https://play.google.com/store/apps/dev?id=Dreamplay+Games</x:v>
      </x:c>
      <x:c r="X68" s="7" t="str">
        <x:v>https://www.linkedin.com/company/dreamplaygames/</x:v>
      </x:c>
      <x:c r="Y68" s="7" t="n">
        <x:f>COUNTA(V68:X68)</x:f>
        <x:v>3</x:v>
      </x:c>
      <x:c r="Z68" s="7" t="str">
        <x:v>Medium</x:v>
      </x:c>
      <x:c r="AA68" s="7" t="str">
        <x:v>C wave; use if seeking broad publisher sweep.</x:v>
      </x:c>
      <x:c r="AB68" s="7" t="str">
        <x:v>Not Started</x:v>
      </x:c>
      <x:c r="AC68" s="7" t="str">
        <x:v>2026-06-02</x:v>
      </x:c>
      <x:c r="AD68" s="7" t="str"/>
      <x:c r="AE68" s="7" t="str"/>
      <x:c r="AF68" s="7" t="str">
        <x:v>中小型游戏发行/开发公司；公开资料未披露收入，按约11-200人级工作室处理。</x:v>
      </x:c>
      <x:c r="AG68" s="7" t="str">
        <x:v>Casual/mobile publishing catalog; global app store releases</x:v>
      </x:c>
      <x:c r="AH68" s="7" t="str">
        <x:v>未公开商务邮箱</x:v>
      </x:c>
      <x:c r="AI68" s="7" t="str">
        <x:v>未找到公开商务邮箱；建议使用官方联系入口：https://dreamplaygames.co.kr/</x:v>
      </x:c>
    </x:row>
    <x:row r="69">
      <x:c r="A69" s="7" t="str">
        <x:v>JP-068</x:v>
      </x:c>
      <x:c r="B69" s="7" t="str">
        <x:v>C</x:v>
      </x:c>
      <x:c r="C69" s="7" t="n">
        <x:v>68</x:v>
      </x:c>
      <x:c r="D69" s="7" t="str">
        <x:v>Edia</x:v>
      </x:c>
      <x:c r="E69" s="7" t="str">
        <x:v>Japan</x:v>
      </x:c>
      <x:c r="F69" s="7" t="str">
        <x:v>Tokyo, Japan</x:v>
      </x:c>
      <x:c r="G69" s="7" t="str">
        <x:v>https://edia.co.jp/</x:v>
      </x:c>
      <x:c r="H69" s="7" t="str">
        <x:v>Public entertainment/mobile content company</x:v>
      </x:c>
      <x:c r="I69" s="7" t="str">
        <x:v>Mobile games, IP/content, publishing and licensing</x:v>
      </x:c>
      <x:c r="J69" s="8" t="n">
        <x:v>10</x:v>
      </x:c>
      <x:c r="K69" s="8" t="n">
        <x:v>7</x:v>
      </x:c>
      <x:c r="L69" s="8" t="n">
        <x:v>10</x:v>
      </x:c>
      <x:c r="M69" s="8" t="n">
        <x:v>8</x:v>
      </x:c>
      <x:c r="N69" s="8" t="n">
        <x:v>7</x:v>
      </x:c>
      <x:c r="O69" s="8" t="n">
        <x:f>SUM(J69:N69)</x:f>
        <x:v>42</x:v>
      </x:c>
      <x:c r="P69" s="7" t="str">
        <x:v>Publishing; licensing; asset deal</x:v>
      </x:c>
      <x:c r="Q69" s="7" t="str">
        <x:v>Game/content business; BD</x:v>
      </x:c>
      <x:c r="R69" s="7" t="str">
        <x:v>Corporate inquiry; IR</x:v>
      </x:c>
      <x:c r="S69" s="7" t="str">
        <x:v>https://edia.co.jp/contact/</x:v>
      </x:c>
      <x:c r="T69" s="7" t="str">
        <x:v>Small/mid option for Japan publishing or IP/content collaboration.</x:v>
      </x:c>
      <x:c r="U69" s="7" t="str">
        <x:v>Official site lists game/content businesses and IR.</x:v>
      </x:c>
      <x:c r="V69" s="7" t="str">
        <x:v>https://edia.co.jp/</x:v>
      </x:c>
      <x:c r="W69" s="7" t="str">
        <x:v>https://edia.co.jp/business/</x:v>
      </x:c>
      <x:c r="X69" s="7" t="str">
        <x:v>https://edia.co.jp/ir/</x:v>
      </x:c>
      <x:c r="Y69" s="7" t="n">
        <x:f>COUNTA(V69:X69)</x:f>
        <x:v>3</x:v>
      </x:c>
      <x:c r="Z69" s="7" t="str">
        <x:v>Medium</x:v>
      </x:c>
      <x:c r="AA69" s="7" t="str">
        <x:v>C wave; ask only after higher-probability routes.</x:v>
      </x:c>
      <x:c r="AB69" s="7" t="str">
        <x:v>Not Started</x:v>
      </x:c>
      <x:c r="AC69" s="7" t="str">
        <x:v>2026-06-02</x:v>
      </x:c>
      <x:c r="AD69" s="7" t="str"/>
      <x:c r="AE69" s="7" t="str"/>
      <x:c r="AF69" s="7" t="str">
        <x:v>上市/挂牌游戏公司；未在本轮补充精确收入，按年收入数十亿至数百亿日元/千亿韩元级处理。</x:v>
      </x:c>
      <x:c r="AG69" s="7" t="str">
        <x:v>Mobile games, IP/content, publishing and licensing</x:v>
      </x:c>
      <x:c r="AH69" s="7" t="str">
        <x:v>未公开商务邮箱</x:v>
      </x:c>
      <x:c r="AI69" s="7" t="str">
        <x:v>未找到公开商务邮箱；建议使用官方联系入口：https://edia.co.jp/contact/</x:v>
      </x:c>
    </x:row>
    <x:row r="70">
      <x:c r="A70" s="7" t="str">
        <x:v>KR-069</x:v>
      </x:c>
      <x:c r="B70" s="7" t="str">
        <x:v>C</x:v>
      </x:c>
      <x:c r="C70" s="7" t="n">
        <x:v>69</x:v>
      </x:c>
      <x:c r="D70" s="7" t="str">
        <x:v>SESISOFT</x:v>
      </x:c>
      <x:c r="E70" s="7" t="str">
        <x:v>Korea</x:v>
      </x:c>
      <x:c r="F70" s="7" t="str">
        <x:v>Seoul, Korea</x:v>
      </x:c>
      <x:c r="G70" s="7" t="str">
        <x:v>https://www.sesisoft.com/</x:v>
      </x:c>
      <x:c r="H70" s="7" t="str">
        <x:v>Mobile game publisher/developer</x:v>
      </x:c>
      <x:c r="I70" s="7" t="str">
        <x:v>Subculture/anime/mobile publishing; partnerships with larger publishers</x:v>
      </x:c>
      <x:c r="J70" s="8" t="n">
        <x:v>10</x:v>
      </x:c>
      <x:c r="K70" s="8" t="n">
        <x:v>7</x:v>
      </x:c>
      <x:c r="L70" s="8" t="n">
        <x:v>10</x:v>
      </x:c>
      <x:c r="M70" s="8" t="n">
        <x:v>8</x:v>
      </x:c>
      <x:c r="N70" s="8" t="n">
        <x:v>7</x:v>
      </x:c>
      <x:c r="O70" s="8" t="n">
        <x:f>SUM(J70:N70)</x:f>
        <x:v>42</x:v>
      </x:c>
      <x:c r="P70" s="7" t="str">
        <x:v>Publishing; Korea launch; co-development</x:v>
      </x:c>
      <x:c r="Q70" s="7" t="str">
        <x:v>Publishing; Business Development</x:v>
      </x:c>
      <x:c r="R70" s="7" t="str">
        <x:v>Official inquiry; LinkedIn</x:v>
      </x:c>
      <x:c r="S70" s="7" t="str">
        <x:v>https://www.sesisoft.com/</x:v>
      </x:c>
      <x:c r="T70" s="7" t="str">
        <x:v>Fit is weaker unless art/audience overlaps; useful Korea publisher candidate.</x:v>
      </x:c>
      <x:c r="U70" s="7" t="str">
        <x:v>Official site describes mobile publishing/development and partnerships.</x:v>
      </x:c>
      <x:c r="V70" s="7" t="str">
        <x:v>https://www.sesisoft.com/</x:v>
      </x:c>
      <x:c r="W70" s="7" t="str">
        <x:v>https://www.linkedin.com/company/sesisoft/</x:v>
      </x:c>
      <x:c r="X70" s="7" t="str">
        <x:v>https://www.sesisoft.com/contact</x:v>
      </x:c>
      <x:c r="Y70" s="7" t="n">
        <x:f>COUNTA(V70:X70)</x:f>
        <x:v>3</x:v>
      </x:c>
      <x:c r="Z70" s="7" t="str">
        <x:v>Medium</x:v>
      </x:c>
      <x:c r="AA70" s="7" t="str">
        <x:v>C wave; use only if target audience overlap exists.</x:v>
      </x:c>
      <x:c r="AB70" s="7" t="str">
        <x:v>Not Started</x:v>
      </x:c>
      <x:c r="AC70" s="7" t="str">
        <x:v>2026-06-02</x:v>
      </x:c>
      <x:c r="AD70" s="7" t="str"/>
      <x:c r="AE70" s="7" t="str"/>
      <x:c r="AF70" s="7" t="str">
        <x:v>中小型游戏发行/开发公司；公开资料未披露收入，按约11-200人级工作室处理。</x:v>
      </x:c>
      <x:c r="AG70" s="7" t="str">
        <x:v>Subculture/anime/mobile publishing; partnerships with larger publishers</x:v>
      </x:c>
      <x:c r="AH70" s="7" t="str">
        <x:v>biz@sesisoft.com</x:v>
      </x:c>
      <x:c r="AI70" s="7" t="str">
        <x:v>官网公开 biz 邮箱。</x:v>
      </x:c>
    </x:row>
    <x:row r="71">
      <x:c r="A71" s="7" t="str">
        <x:v>KR-070</x:v>
      </x:c>
      <x:c r="B71" s="7" t="str">
        <x:v>C</x:v>
      </x:c>
      <x:c r="C71" s="7" t="n">
        <x:v>70</x:v>
      </x:c>
      <x:c r="D71" s="7" t="str">
        <x:v>TakeOne Company</x:v>
      </x:c>
      <x:c r="E71" s="7" t="str">
        <x:v>Korea</x:v>
      </x:c>
      <x:c r="F71" s="7" t="str">
        <x:v>Seoul, Korea</x:v>
      </x:c>
      <x:c r="G71" s="7" t="str">
        <x:v>https://www.takeonecompany.com/</x:v>
      </x:c>
      <x:c r="H71" s="7" t="str">
        <x:v>Mobile game and content company</x:v>
      </x:c>
      <x:c r="I71" s="7" t="str">
        <x:v>BTS World development heritage; Blackpink The Game; IP mobile titles</x:v>
      </x:c>
      <x:c r="J71" s="8" t="n">
        <x:v>10</x:v>
      </x:c>
      <x:c r="K71" s="8" t="n">
        <x:v>7</x:v>
      </x:c>
      <x:c r="L71" s="8" t="n">
        <x:v>10</x:v>
      </x:c>
      <x:c r="M71" s="8" t="n">
        <x:v>8</x:v>
      </x:c>
      <x:c r="N71" s="8" t="n">
        <x:v>6</x:v>
      </x:c>
      <x:c r="O71" s="8" t="n">
        <x:f>SUM(J71:N71)</x:f>
        <x:v>41</x:v>
      </x:c>
      <x:c r="P71" s="7" t="str">
        <x:v>IP partnership; publishing; co-development</x:v>
      </x:c>
      <x:c r="Q71" s="7" t="str">
        <x:v>Business Development; Game/content business</x:v>
      </x:c>
      <x:c r="R71" s="7" t="str">
        <x:v>Official contact; LinkedIn</x:v>
      </x:c>
      <x:c r="S71" s="7" t="str">
        <x:v>https://www.takeonecompany.com/contact</x:v>
      </x:c>
      <x:c r="T71" s="7" t="str">
        <x:v>Better if your game has character/IP content plan; not a pure UA buyer.</x:v>
      </x:c>
      <x:c r="U71" s="7" t="str">
        <x:v>Official site lists IP/game content portfolio and company details.</x:v>
      </x:c>
      <x:c r="V71" s="7" t="str">
        <x:v>https://www.takeonecompany.com/</x:v>
      </x:c>
      <x:c r="W71" s="7" t="str">
        <x:v>https://www.takeonecompany.com/business</x:v>
      </x:c>
      <x:c r="X71" s="7" t="str">
        <x:v>https://www.linkedin.com/company/takeonecompany/</x:v>
      </x:c>
      <x:c r="Y71" s="7" t="n">
        <x:f>COUNTA(V71:X71)</x:f>
        <x:v>3</x:v>
      </x:c>
      <x:c r="Z71" s="7" t="str">
        <x:v>Medium</x:v>
      </x:c>
      <x:c r="AA71" s="7" t="str">
        <x:v>C wave; pitch only with IP/world-building angle.</x:v>
      </x:c>
      <x:c r="AB71" s="7" t="str">
        <x:v>Not Started</x:v>
      </x:c>
      <x:c r="AC71" s="7" t="str">
        <x:v>2026-06-02</x:v>
      </x:c>
      <x:c r="AD71" s="7" t="str"/>
      <x:c r="AE71" s="7" t="str"/>
      <x:c r="AF71" s="7" t="str">
        <x:v>中小型游戏发行/开发公司；公开资料未披露收入，按约11-200人级工作室处理。</x:v>
      </x:c>
      <x:c r="AG71" s="7" t="str">
        <x:v>BTS World development heritage; Blackpink The Game; IP mobile titles</x:v>
      </x:c>
      <x:c r="AH71" s="7" t="str">
        <x:v>takeone@takeone.co.kr</x:v>
      </x:c>
      <x:c r="AI71" s="7" t="str">
        <x:v>官网公开通用邮箱。</x:v>
      </x:c>
    </x:row>
    <x:row r="72">
      <x:c r="A72" s="7" t="str">
        <x:v>JP-071</x:v>
      </x:c>
      <x:c r="B72" s="7" t="str">
        <x:v>C</x:v>
      </x:c>
      <x:c r="C72" s="7" t="n">
        <x:v>71</x:v>
      </x:c>
      <x:c r="D72" s="7" t="str">
        <x:v>Voltage</x:v>
      </x:c>
      <x:c r="E72" s="7" t="str">
        <x:v>Japan</x:v>
      </x:c>
      <x:c r="F72" s="7" t="str">
        <x:v>Tokyo, Japan</x:v>
      </x:c>
      <x:c r="G72" s="7" t="str">
        <x:v>https://www.voltage.co.jp/en/</x:v>
      </x:c>
      <x:c r="H72" s="7" t="str">
        <x:v>Public mobile storytelling/game company</x:v>
      </x:c>
      <x:c r="I72" s="7" t="str">
        <x:v>Romance apps, story games, mobile entertainment</x:v>
      </x:c>
      <x:c r="J72" s="8" t="n">
        <x:v>9</x:v>
      </x:c>
      <x:c r="K72" s="8" t="n">
        <x:v>6</x:v>
      </x:c>
      <x:c r="L72" s="8" t="n">
        <x:v>10</x:v>
      </x:c>
      <x:c r="M72" s="8" t="n">
        <x:v>8</x:v>
      </x:c>
      <x:c r="N72" s="8" t="n">
        <x:v>7</x:v>
      </x:c>
      <x:c r="O72" s="8" t="n">
        <x:f>SUM(J72:N72)</x:f>
        <x:v>40</x:v>
      </x:c>
      <x:c r="P72" s="7" t="str">
        <x:v>Publishing; localization; niche partnership</x:v>
      </x:c>
      <x:c r="Q72" s="7" t="str">
        <x:v>Game/content business; BD</x:v>
      </x:c>
      <x:c r="R72" s="7" t="str">
        <x:v>Corporate inquiry; IR</x:v>
      </x:c>
      <x:c r="S72" s="7" t="str">
        <x:v>https://www.voltage.co.jp/en/contact/</x:v>
      </x:c>
      <x:c r="T72" s="7" t="str">
        <x:v>Only relevant if female/cozy audience overlap exists.</x:v>
      </x:c>
      <x:c r="U72" s="7" t="str">
        <x:v>Official site lists mobile storytelling apps and company/IR info.</x:v>
      </x:c>
      <x:c r="V72" s="7" t="str">
        <x:v>https://www.voltage.co.jp/en/</x:v>
      </x:c>
      <x:c r="W72" s="7" t="str">
        <x:v>https://www.voltage.co.jp/en/apps/</x:v>
      </x:c>
      <x:c r="X72" s="7" t="str">
        <x:v>https://www.voltage.co.jp/en/ir/</x:v>
      </x:c>
      <x:c r="Y72" s="7" t="n">
        <x:f>COUNTA(V72:X72)</x:f>
        <x:v>3</x:v>
      </x:c>
      <x:c r="Z72" s="7" t="str">
        <x:v>Medium</x:v>
      </x:c>
      <x:c r="AA72" s="7" t="str">
        <x:v>C wave; do not prioritize unless audience fit is proven.</x:v>
      </x:c>
      <x:c r="AB72" s="7" t="str">
        <x:v>Not Started</x:v>
      </x:c>
      <x:c r="AC72" s="7" t="str">
        <x:v>2026-06-02</x:v>
      </x:c>
      <x:c r="AD72" s="7" t="str"/>
      <x:c r="AE72" s="7" t="str"/>
      <x:c r="AF72" s="7" t="str">
        <x:v>上市/挂牌游戏公司；未在本轮补充精确收入，按年收入数十亿至数百亿日元/千亿韩元级处理。</x:v>
      </x:c>
      <x:c r="AG72" s="7" t="str">
        <x:v>Romance apps, story games, mobile entertainment</x:v>
      </x:c>
      <x:c r="AH72" s="7" t="str">
        <x:v>未公开商务邮箱</x:v>
      </x:c>
      <x:c r="AI72" s="7" t="str">
        <x:v>未找到公开商务邮箱；建议使用官方联系入口：https://www.voltage.co.jp/en/contact/</x:v>
      </x:c>
    </x:row>
    <x:row r="73">
      <x:c r="A73" s="7" t="str">
        <x:v>KR-072</x:v>
      </x:c>
      <x:c r="B73" s="7" t="str">
        <x:v>C</x:v>
      </x:c>
      <x:c r="C73" s="7" t="n">
        <x:v>72</x:v>
      </x:c>
      <x:c r="D73" s="7" t="str">
        <x:v>4:33 Creative Lab</x:v>
      </x:c>
      <x:c r="E73" s="7" t="str">
        <x:v>Korea</x:v>
      </x:c>
      <x:c r="F73" s="7" t="str">
        <x:v>Seoul, Korea</x:v>
      </x:c>
      <x:c r="G73" s="7" t="str">
        <x:v>http://www.433.co.kr/</x:v>
      </x:c>
      <x:c r="H73" s="7" t="str">
        <x:v>Mobile game developer/publisher</x:v>
      </x:c>
      <x:c r="I73" s="7" t="str">
        <x:v>Blade, Boxing Star, mobile action/social titles</x:v>
      </x:c>
      <x:c r="J73" s="8" t="n">
        <x:v>10</x:v>
      </x:c>
      <x:c r="K73" s="8" t="n">
        <x:v>7</x:v>
      </x:c>
      <x:c r="L73" s="8" t="n">
        <x:v>9</x:v>
      </x:c>
      <x:c r="M73" s="8" t="n">
        <x:v>8</x:v>
      </x:c>
      <x:c r="N73" s="8" t="n">
        <x:v>6</x:v>
      </x:c>
      <x:c r="O73" s="8" t="n">
        <x:f>SUM(J73:N73)</x:f>
        <x:v>40</x:v>
      </x:c>
      <x:c r="P73" s="7" t="str">
        <x:v>Publishing; co-development; asset deal</x:v>
      </x:c>
      <x:c r="Q73" s="7" t="str">
        <x:v>Business Development</x:v>
      </x:c>
      <x:c r="R73" s="7" t="str">
        <x:v>Official contact; LinkedIn</x:v>
      </x:c>
      <x:c r="S73" s="7" t="str">
        <x:v>http://www.433.co.kr/</x:v>
      </x:c>
      <x:c r="T73" s="7" t="str">
        <x:v>Lower fit but could be opportunistic if seeking external mobile titles.</x:v>
      </x:c>
      <x:c r="U73" s="7" t="str">
        <x:v>Official/company profiles list mobile game portfolio.</x:v>
      </x:c>
      <x:c r="V73" s="7" t="str">
        <x:v>http://www.433.co.kr/</x:v>
      </x:c>
      <x:c r="W73" s="7" t="str">
        <x:v>https://www.linkedin.com/company/4-33-creative-lab/</x:v>
      </x:c>
      <x:c r="X73" s="7" t="str">
        <x:v>https://www.mobygames.com/company/45418/433-creative-lab/</x:v>
      </x:c>
      <x:c r="Y73" s="7" t="n">
        <x:f>COUNTA(V73:X73)</x:f>
        <x:v>3</x:v>
      </x:c>
      <x:c r="Z73" s="7" t="str">
        <x:v>Medium</x:v>
      </x:c>
      <x:c r="AA73" s="7" t="str">
        <x:v>C wave only.</x:v>
      </x:c>
      <x:c r="AB73" s="7" t="str">
        <x:v>Not Started</x:v>
      </x:c>
      <x:c r="AC73" s="7" t="str">
        <x:v>2026-06-02</x:v>
      </x:c>
      <x:c r="AD73" s="7" t="str"/>
      <x:c r="AE73" s="7" t="str"/>
      <x:c r="AF73" s="7" t="str">
        <x:v>中小型游戏发行/开发公司；公开资料未披露收入，按约11-200人级工作室处理。</x:v>
      </x:c>
      <x:c r="AG73" s="7" t="str">
        <x:v>Blade, Boxing Star, mobile action/social titles</x:v>
      </x:c>
      <x:c r="AH73" s="7" t="str">
        <x:v>business@433.co.kr; ftt_bd@433.co.kr</x:v>
      </x:c>
      <x:c r="AI73" s="7" t="str">
        <x:v>官网 Contact 页面公开 business 与 BD 邮箱；BD优先 business@，ftt_bd@ 可并行。</x:v>
      </x:c>
    </x:row>
    <x:row r="74">
      <x:c r="A74" s="7" t="str">
        <x:v>KR-073</x:v>
      </x:c>
      <x:c r="B74" s="7" t="str">
        <x:v>C</x:v>
      </x:c>
      <x:c r="C74" s="7" t="n">
        <x:v>73</x:v>
      </x:c>
      <x:c r="D74" s="7" t="str">
        <x:v>StickyHands</x:v>
      </x:c>
      <x:c r="E74" s="7" t="str">
        <x:v>Korea</x:v>
      </x:c>
      <x:c r="F74" s="7" t="str">
        <x:v>Seoul, Korea</x:v>
      </x:c>
      <x:c r="G74" s="7" t="str">
        <x:v>https://stickyhands.kr/</x:v>
      </x:c>
      <x:c r="H74" s="7" t="str">
        <x:v>Mobile casual/idle game developer</x:v>
      </x:c>
      <x:c r="I74" s="7" t="str">
        <x:v>Idle/casual mobile portfolio</x:v>
      </x:c>
      <x:c r="J74" s="8" t="n">
        <x:v>9</x:v>
      </x:c>
      <x:c r="K74" s="8" t="n">
        <x:v>5</x:v>
      </x:c>
      <x:c r="L74" s="8" t="n">
        <x:v>14</x:v>
      </x:c>
      <x:c r="M74" s="8" t="n">
        <x:v>6</x:v>
      </x:c>
      <x:c r="N74" s="8" t="n">
        <x:v>6</x:v>
      </x:c>
      <x:c r="O74" s="8" t="n">
        <x:f>SUM(J74:N74)</x:f>
        <x:v>40</x:v>
      </x:c>
      <x:c r="P74" s="7" t="str">
        <x:v>Co-development; peer partnership; publishing intro</x:v>
      </x:c>
      <x:c r="Q74" s="7" t="str">
        <x:v>Business Development; Studio leadership</x:v>
      </x:c>
      <x:c r="R74" s="7" t="str">
        <x:v>Official contact; LinkedIn</x:v>
      </x:c>
      <x:c r="S74" s="7" t="str">
        <x:v>https://stickyhands.kr/</x:v>
      </x:c>
      <x:c r="T74" s="7" t="str">
        <x:v>Small studio fit; not a strategic buyer but useful for network expansion.</x:v>
      </x:c>
      <x:c r="U74" s="7" t="str">
        <x:v>Official site and app/company profiles list mobile casual titles.</x:v>
      </x:c>
      <x:c r="V74" s="7" t="str">
        <x:v>https://stickyhands.kr/</x:v>
      </x:c>
      <x:c r="W74" s="7" t="str">
        <x:v>https://play.google.com/store/apps/dev?id=StickyHands+Inc.</x:v>
      </x:c>
      <x:c r="X74" s="7" t="str">
        <x:v>https://www.linkedin.com/company/stickyhands/</x:v>
      </x:c>
      <x:c r="Y74" s="7" t="n">
        <x:f>COUNTA(V74:X74)</x:f>
        <x:v>3</x:v>
      </x:c>
      <x:c r="Z74" s="7" t="str">
        <x:v>Medium</x:v>
      </x:c>
      <x:c r="AA74" s="7" t="str">
        <x:v>C wave only.</x:v>
      </x:c>
      <x:c r="AB74" s="7" t="str">
        <x:v>Not Started</x:v>
      </x:c>
      <x:c r="AC74" s="7" t="str">
        <x:v>2026-06-02</x:v>
      </x:c>
      <x:c r="AD74" s="7" t="str"/>
      <x:c r="AE74" s="7" t="str"/>
      <x:c r="AF74" s="7" t="str">
        <x:v>中小型休闲手游公司；公开公司资料常见规模约51-200人级。</x:v>
      </x:c>
      <x:c r="AG74" s="7" t="str">
        <x:v>Idle/casual mobile portfolio</x:v>
      </x:c>
      <x:c r="AH74" s="7" t="str">
        <x:v>未公开商务邮箱</x:v>
      </x:c>
      <x:c r="AI74" s="7" t="str">
        <x:v>未找到公开商务邮箱；建议使用官方联系入口：https://stickyhands.kr/</x:v>
      </x:c>
    </x:row>
    <x:row r="75">
      <x:c r="A75" s="7" t="str">
        <x:v>JP-074</x:v>
      </x:c>
      <x:c r="B75" s="7" t="str">
        <x:v>C</x:v>
      </x:c>
      <x:c r="C75" s="7" t="n">
        <x:v>74</x:v>
      </x:c>
      <x:c r="D75" s="7" t="str">
        <x:v>Asobimo</x:v>
      </x:c>
      <x:c r="E75" s="7" t="str">
        <x:v>Japan</x:v>
      </x:c>
      <x:c r="F75" s="7" t="str">
        <x:v>Tokyo, Japan</x:v>
      </x:c>
      <x:c r="G75" s="7" t="str">
        <x:v>https://asobimo.com/en/</x:v>
      </x:c>
      <x:c r="H75" s="7" t="str">
        <x:v>Private online/mobile game developer</x:v>
      </x:c>
      <x:c r="I75" s="7" t="str">
        <x:v>Toram Online, Avabel Online; mobile MMO live service</x:v>
      </x:c>
      <x:c r="J75" s="8" t="n">
        <x:v>9</x:v>
      </x:c>
      <x:c r="K75" s="8" t="n">
        <x:v>6</x:v>
      </x:c>
      <x:c r="L75" s="8" t="n">
        <x:v>9</x:v>
      </x:c>
      <x:c r="M75" s="8" t="n">
        <x:v>8</x:v>
      </x:c>
      <x:c r="N75" s="8" t="n">
        <x:v>7</x:v>
      </x:c>
      <x:c r="O75" s="8" t="n">
        <x:f>SUM(J75:N75)</x:f>
        <x:v>39</x:v>
      </x:c>
      <x:c r="P75" s="7" t="str">
        <x:v>Co-development; Japan operation; publishing</x:v>
      </x:c>
      <x:c r="Q75" s="7" t="str">
        <x:v>Business Development; Game Production</x:v>
      </x:c>
      <x:c r="R75" s="7" t="str">
        <x:v>Corporate inquiry</x:v>
      </x:c>
      <x:c r="S75" s="7" t="str">
        <x:v>https://asobimo.com/en/contact/</x:v>
      </x:c>
      <x:c r="T75" s="7" t="str">
        <x:v>Genre fit is weak, but mobile live-service operation capability exists.</x:v>
      </x:c>
      <x:c r="U75" s="7" t="str">
        <x:v>Official site lists mobile online games and company information.</x:v>
      </x:c>
      <x:c r="V75" s="7" t="str">
        <x:v>https://asobimo.com/en/</x:v>
      </x:c>
      <x:c r="W75" s="7" t="str">
        <x:v>https://asobimo.com/en/games/</x:v>
      </x:c>
      <x:c r="X75" s="7" t="str">
        <x:v>https://asobimo.com/en/company/</x:v>
      </x:c>
      <x:c r="Y75" s="7" t="n">
        <x:f>COUNTA(V75:X75)</x:f>
        <x:v>3</x:v>
      </x:c>
      <x:c r="Z75" s="7" t="str">
        <x:v>Medium</x:v>
      </x:c>
      <x:c r="AA75" s="7" t="str">
        <x:v>C wave only.</x:v>
      </x:c>
      <x:c r="AB75" s="7" t="str">
        <x:v>Not Started</x:v>
      </x:c>
      <x:c r="AC75" s="7" t="str">
        <x:v>2026-06-02</x:v>
      </x:c>
      <x:c r="AD75" s="7" t="str"/>
      <x:c r="AE75" s="7" t="str"/>
      <x:c r="AF75" s="7" t="str">
        <x:v>民营游戏公司；公开公司资料常见规模约51-200人级。</x:v>
      </x:c>
      <x:c r="AG75" s="7" t="str">
        <x:v>Toram Online, Avabel Online; mobile MMO live service</x:v>
      </x:c>
      <x:c r="AH75" s="7" t="str">
        <x:v>support@asobimo.com</x:v>
      </x:c>
      <x:c r="AI75" s="7" t="str">
        <x:v>官网公开 support 邮箱；偏客服，BD建议并行官网入口。</x:v>
      </x:c>
    </x:row>
    <x:row r="76">
      <x:c r="A76" s="7" t="str">
        <x:v>KR-075</x:v>
      </x:c>
      <x:c r="B76" s="7" t="str">
        <x:v>C</x:v>
      </x:c>
      <x:c r="C76" s="7" t="n">
        <x:v>75</x:v>
      </x:c>
      <x:c r="D76" s="7" t="str">
        <x:v>ThumbAge</x:v>
      </x:c>
      <x:c r="E76" s="7" t="str">
        <x:v>Korea</x:v>
      </x:c>
      <x:c r="F76" s="7" t="str">
        <x:v>Seongnam, Korea</x:v>
      </x:c>
      <x:c r="G76" s="7" t="str">
        <x:v>https://www.thumbage.co.kr/</x:v>
      </x:c>
      <x:c r="H76" s="7" t="str">
        <x:v>Mobile game developer/publisher</x:v>
      </x:c>
      <x:c r="I76" s="7" t="str">
        <x:v>Dekaron M, Destiny Child-related history, mobile titles</x:v>
      </x:c>
      <x:c r="J76" s="8" t="n">
        <x:v>9</x:v>
      </x:c>
      <x:c r="K76" s="8" t="n">
        <x:v>7</x:v>
      </x:c>
      <x:c r="L76" s="8" t="n">
        <x:v>8</x:v>
      </x:c>
      <x:c r="M76" s="8" t="n">
        <x:v>8</x:v>
      </x:c>
      <x:c r="N76" s="8" t="n">
        <x:v>6</x:v>
      </x:c>
      <x:c r="O76" s="8" t="n">
        <x:f>SUM(J76:N76)</x:f>
        <x:v>38</x:v>
      </x:c>
      <x:c r="P76" s="7" t="str">
        <x:v>Publishing; co-development; asset deal</x:v>
      </x:c>
      <x:c r="Q76" s="7" t="str">
        <x:v>Business Development</x:v>
      </x:c>
      <x:c r="R76" s="7" t="str">
        <x:v>Official contact; IR</x:v>
      </x:c>
      <x:c r="S76" s="7" t="str">
        <x:v>https://www.thumbage.co.kr/</x:v>
      </x:c>
      <x:c r="T76" s="7" t="str">
        <x:v>Low genre fit; possible asset/acqui-hire conversation if they seek pipeline.</x:v>
      </x:c>
      <x:c r="U76" s="7" t="str">
        <x:v>Official site/company profiles list mobile game business and IR.</x:v>
      </x:c>
      <x:c r="V76" s="7" t="str">
        <x:v>https://www.thumbage.co.kr/</x:v>
      </x:c>
      <x:c r="W76" s="7" t="str">
        <x:v>https://www.thumbage.co.kr/ir</x:v>
      </x:c>
      <x:c r="X76" s="7" t="str">
        <x:v>https://www.mobygames.com/company/10560/thumbage-co-ltd/</x:v>
      </x:c>
      <x:c r="Y76" s="7" t="n">
        <x:f>COUNTA(V76:X76)</x:f>
        <x:v>3</x:v>
      </x:c>
      <x:c r="Z76" s="7" t="str">
        <x:v>Medium</x:v>
      </x:c>
      <x:c r="AA76" s="7" t="str">
        <x:v>C wave only.</x:v>
      </x:c>
      <x:c r="AB76" s="7" t="str">
        <x:v>Not Started</x:v>
      </x:c>
      <x:c r="AC76" s="7" t="str">
        <x:v>2026-06-02</x:v>
      </x:c>
      <x:c r="AD76" s="7" t="str"/>
      <x:c r="AE76" s="7" t="str"/>
      <x:c r="AF76" s="7" t="str">
        <x:v>中小型游戏发行/开发公司；公开资料未披露收入，按约11-200人级工作室处理。</x:v>
      </x:c>
      <x:c r="AG76" s="7" t="str">
        <x:v>Dekaron M, Destiny Child-related history, mobile titles</x:v>
      </x:c>
      <x:c r="AH76" s="7" t="str">
        <x:v>helpdesk@thumbage.co.kr</x:v>
      </x:c>
      <x:c r="AI76" s="7" t="str">
        <x:v>官网公开 helpdesk 邮箱；偏客服/帮助台，BD建议并行官网入口。</x:v>
      </x:c>
    </x:row>
    <x:row r="77">
      <x:c r="A77" s="7" t="str">
        <x:v>KR-076</x:v>
      </x:c>
      <x:c r="B77" s="7" t="str">
        <x:v>C</x:v>
      </x:c>
      <x:c r="C77" s="7" t="n">
        <x:v>76</x:v>
      </x:c>
      <x:c r="D77" s="7" t="str">
        <x:v>Wemade Max</x:v>
      </x:c>
      <x:c r="E77" s="7" t="str">
        <x:v>Korea</x:v>
      </x:c>
      <x:c r="F77" s="7" t="str">
        <x:v>Seongnam, Korea</x:v>
      </x:c>
      <x:c r="G77" s="7" t="str">
        <x:v>https://www.wemademax.com/</x:v>
      </x:c>
      <x:c r="H77" s="7" t="str">
        <x:v>Wemade group game developer/publisher</x:v>
      </x:c>
      <x:c r="I77" s="7" t="str">
        <x:v>Subsidiary/game development under Wemade group</x:v>
      </x:c>
      <x:c r="J77" s="8" t="n">
        <x:v>9</x:v>
      </x:c>
      <x:c r="K77" s="8" t="n">
        <x:v>7</x:v>
      </x:c>
      <x:c r="L77" s="8" t="n">
        <x:v>8</x:v>
      </x:c>
      <x:c r="M77" s="8" t="n">
        <x:v>8</x:v>
      </x:c>
      <x:c r="N77" s="8" t="n">
        <x:v>6</x:v>
      </x:c>
      <x:c r="O77" s="8" t="n">
        <x:f>SUM(J77:N77)</x:f>
        <x:v>38</x:v>
      </x:c>
      <x:c r="P77" s="7" t="str">
        <x:v>Co-development; parent-route publishing; asset deal</x:v>
      </x:c>
      <x:c r="Q77" s="7" t="str">
        <x:v>Business Development; Wemade group</x:v>
      </x:c>
      <x:c r="R77" s="7" t="str">
        <x:v>Official contact; parent route</x:v>
      </x:c>
      <x:c r="S77" s="7" t="str">
        <x:v>https://www.wemademax.com/</x:v>
      </x:c>
      <x:c r="T77" s="7" t="str">
        <x:v>Route through Wemade if there is strategic interest; not first-line buyer.</x:v>
      </x:c>
      <x:c r="U77" s="7" t="str">
        <x:v>Official site and Wemade group sources list game development relationship.</x:v>
      </x:c>
      <x:c r="V77" s="7" t="str">
        <x:v>https://www.wemademax.com/</x:v>
      </x:c>
      <x:c r="W77" s="7" t="str">
        <x:v>https://www.wemade.com/en</x:v>
      </x:c>
      <x:c r="X77" s="7" t="str">
        <x:v>https://www.wemade.com/en/company/affiliates</x:v>
      </x:c>
      <x:c r="Y77" s="7" t="n">
        <x:f>COUNTA(V77:X77)</x:f>
        <x:v>3</x:v>
      </x:c>
      <x:c r="Z77" s="7" t="str">
        <x:v>Medium</x:v>
      </x:c>
      <x:c r="AA77" s="7" t="str">
        <x:v>C wave; avoid duplicate outreach if Wemade is active.</x:v>
      </x:c>
      <x:c r="AB77" s="7" t="str">
        <x:v>Not Started</x:v>
      </x:c>
      <x:c r="AC77" s="7" t="str">
        <x:v>2026-06-02</x:v>
      </x:c>
      <x:c r="AD77" s="7" t="str"/>
      <x:c r="AE77" s="7" t="str"/>
      <x:c r="AF77" s="7" t="str">
        <x:v>中小型游戏发行/开发公司；公开资料未披露收入，按约11-200人级工作室处理。</x:v>
      </x:c>
      <x:c r="AG77" s="7" t="str">
        <x:v>Subsidiary/game development under Wemade group</x:v>
      </x:c>
      <x:c r="AH77" s="7" t="str">
        <x:v>contact@wemade.com; ir@wemade.com</x:v>
      </x:c>
      <x:c r="AI77" s="7" t="str">
        <x:v>母公司 Wemade 官网公开邮箱；建议备注转 Wemade Max。</x:v>
      </x:c>
    </x:row>
    <x:row r="78">
      <x:c r="A78" s="7" t="str">
        <x:v>KR-077</x:v>
      </x:c>
      <x:c r="B78" s="7" t="str">
        <x:v>C</x:v>
      </x:c>
      <x:c r="C78" s="7" t="n">
        <x:v>77</x:v>
      </x:c>
      <x:c r="D78" s="7" t="str">
        <x:v>HanbitSoft</x:v>
      </x:c>
      <x:c r="E78" s="7" t="str">
        <x:v>Korea</x:v>
      </x:c>
      <x:c r="F78" s="7" t="str">
        <x:v>Seoul, Korea</x:v>
      </x:c>
      <x:c r="G78" s="7" t="str">
        <x:v>https://www.hanbitsoft.co.kr/</x:v>
      </x:c>
      <x:c r="H78" s="7" t="str">
        <x:v>Game publisher/developer</x:v>
      </x:c>
      <x:c r="I78" s="7" t="str">
        <x:v>Audition, Granado Espada; online/mobile publishing</x:v>
      </x:c>
      <x:c r="J78" s="8" t="n">
        <x:v>9</x:v>
      </x:c>
      <x:c r="K78" s="8" t="n">
        <x:v>6</x:v>
      </x:c>
      <x:c r="L78" s="8" t="n">
        <x:v>8</x:v>
      </x:c>
      <x:c r="M78" s="8" t="n">
        <x:v>8</x:v>
      </x:c>
      <x:c r="N78" s="8" t="n">
        <x:v>6</x:v>
      </x:c>
      <x:c r="O78" s="8" t="n">
        <x:f>SUM(J78:N78)</x:f>
        <x:v>37</x:v>
      </x:c>
      <x:c r="P78" s="7" t="str">
        <x:v>Publishing; Korea operation; asset deal</x:v>
      </x:c>
      <x:c r="Q78" s="7" t="str">
        <x:v>Business Development</x:v>
      </x:c>
      <x:c r="R78" s="7" t="str">
        <x:v>Official contact; IR</x:v>
      </x:c>
      <x:c r="S78" s="7" t="str">
        <x:v>https://www.hanbitsoft.co.kr/</x:v>
      </x:c>
      <x:c r="T78" s="7" t="str">
        <x:v>Low direct fit; include for Korea sweep completeness.</x:v>
      </x:c>
      <x:c r="U78" s="7" t="str">
        <x:v>Official site and company profiles list games and publishing operations.</x:v>
      </x:c>
      <x:c r="V78" s="7" t="str">
        <x:v>https://www.hanbitsoft.co.kr/</x:v>
      </x:c>
      <x:c r="W78" s="7" t="str">
        <x:v>https://www.hanbitsoft.co.kr/game</x:v>
      </x:c>
      <x:c r="X78" s="7" t="str">
        <x:v>https://www.mobygames.com/company/2845/hanbitsoft-inc/</x:v>
      </x:c>
      <x:c r="Y78" s="7" t="n">
        <x:f>COUNTA(V78:X78)</x:f>
        <x:v>3</x:v>
      </x:c>
      <x:c r="Z78" s="7" t="str">
        <x:v>Medium</x:v>
      </x:c>
      <x:c r="AA78" s="7" t="str">
        <x:v>C wave only.</x:v>
      </x:c>
      <x:c r="AB78" s="7" t="str">
        <x:v>Not Started</x:v>
      </x:c>
      <x:c r="AC78" s="7" t="str">
        <x:v>2026-06-02</x:v>
      </x:c>
      <x:c r="AD78" s="7" t="str"/>
      <x:c r="AE78" s="7" t="str"/>
      <x:c r="AF78" s="7" t="str">
        <x:v>中小型游戏发行/开发公司；公开资料未披露收入，按约11-200人级工作室处理。</x:v>
      </x:c>
      <x:c r="AG78" s="7" t="str">
        <x:v>Audition, Granado Espada; online/mobile publishing</x:v>
      </x:c>
      <x:c r="AH78" s="7" t="str">
        <x:v>未公开商务邮箱</x:v>
      </x:c>
      <x:c r="AI78" s="7" t="str">
        <x:v>未找到公开商务邮箱；建议使用官方联系入口：https://www.hanbitsoft.co.kr/</x:v>
      </x:c>
    </x:row>
    <x:row r="79">
      <x:c r="A79" s="7" t="str">
        <x:v>KR-078</x:v>
      </x:c>
      <x:c r="B79" s="7" t="str">
        <x:v>C</x:v>
      </x:c>
      <x:c r="C79" s="7" t="n">
        <x:v>78</x:v>
      </x:c>
      <x:c r="D79" s="7" t="str">
        <x:v>T3 Entertainment</x:v>
      </x:c>
      <x:c r="E79" s="7" t="str">
        <x:v>Korea</x:v>
      </x:c>
      <x:c r="F79" s="7" t="str">
        <x:v>Seoul, Korea</x:v>
      </x:c>
      <x:c r="G79" s="7" t="str">
        <x:v>http://www.t3.co.kr/</x:v>
      </x:c>
      <x:c r="H79" s="7" t="str">
        <x:v>Game developer/publisher; HanbitSoft group links</x:v>
      </x:c>
      <x:c r="I79" s="7" t="str">
        <x:v>Audition franchise; mobile/online game operations</x:v>
      </x:c>
      <x:c r="J79" s="8" t="n">
        <x:v>9</x:v>
      </x:c>
      <x:c r="K79" s="8" t="n">
        <x:v>6</x:v>
      </x:c>
      <x:c r="L79" s="8" t="n">
        <x:v>8</x:v>
      </x:c>
      <x:c r="M79" s="8" t="n">
        <x:v>8</x:v>
      </x:c>
      <x:c r="N79" s="8" t="n">
        <x:v>6</x:v>
      </x:c>
      <x:c r="O79" s="8" t="n">
        <x:f>SUM(J79:N79)</x:f>
        <x:v>37</x:v>
      </x:c>
      <x:c r="P79" s="7" t="str">
        <x:v>Publishing; co-development; Korea operation</x:v>
      </x:c>
      <x:c r="Q79" s="7" t="str">
        <x:v>Business Development</x:v>
      </x:c>
      <x:c r="R79" s="7" t="str">
        <x:v>Official contact; HanbitSoft route</x:v>
      </x:c>
      <x:c r="S79" s="7" t="str">
        <x:v>http://www.t3.co.kr/</x:v>
      </x:c>
      <x:c r="T79" s="7" t="str">
        <x:v>Low fit but possible local operator/publisher.</x:v>
      </x:c>
      <x:c r="U79" s="7" t="str">
        <x:v>Official/company sources list game development and Audition-related operations.</x:v>
      </x:c>
      <x:c r="V79" s="7" t="str">
        <x:v>http://www.t3.co.kr/</x:v>
      </x:c>
      <x:c r="W79" s="7" t="str">
        <x:v>https://www.hanbitsoft.co.kr/</x:v>
      </x:c>
      <x:c r="X79" s="7" t="str">
        <x:v>https://www.mobygames.com/company/1387/t3-entertainment-co-ltd/</x:v>
      </x:c>
      <x:c r="Y79" s="7" t="n">
        <x:f>COUNTA(V79:X79)</x:f>
        <x:v>3</x:v>
      </x:c>
      <x:c r="Z79" s="7" t="str">
        <x:v>Medium</x:v>
      </x:c>
      <x:c r="AA79" s="7" t="str">
        <x:v>C wave only.</x:v>
      </x:c>
      <x:c r="AB79" s="7" t="str">
        <x:v>Not Started</x:v>
      </x:c>
      <x:c r="AC79" s="7" t="str">
        <x:v>2026-06-02</x:v>
      </x:c>
      <x:c r="AD79" s="7" t="str"/>
      <x:c r="AE79" s="7" t="str"/>
      <x:c r="AF79" s="7" t="str">
        <x:v>中小型游戏发行/开发公司；公开资料未披露收入，按约11-200人级工作室处理。</x:v>
      </x:c>
      <x:c r="AG79" s="7" t="str">
        <x:v>Audition franchise; mobile/online game operations</x:v>
      </x:c>
      <x:c r="AH79" s="7" t="str">
        <x:v>未公开商务邮箱</x:v>
      </x:c>
      <x:c r="AI79" s="7" t="str">
        <x:v>未找到公开商务邮箱；建议使用官方联系入口：http://www.t3.co.kr/</x:v>
      </x:c>
    </x:row>
    <x:row r="80">
      <x:c r="A80" s="7" t="str">
        <x:v>KR-079</x:v>
      </x:c>
      <x:c r="B80" s="7" t="str">
        <x:v>C</x:v>
      </x:c>
      <x:c r="C80" s="7" t="n">
        <x:v>79</x:v>
      </x:c>
      <x:c r="D80" s="7" t="str">
        <x:v>Action Square</x:v>
      </x:c>
      <x:c r="E80" s="7" t="str">
        <x:v>Korea</x:v>
      </x:c>
      <x:c r="F80" s="7" t="str">
        <x:v>Seoul, Korea</x:v>
      </x:c>
      <x:c r="G80" s="7" t="str">
        <x:v>https://www.action2quare.com/</x:v>
      </x:c>
      <x:c r="H80" s="7" t="str">
        <x:v>Game developer/publisher</x:v>
      </x:c>
      <x:c r="I80" s="7" t="str">
        <x:v>Blade series, ANVIL, action games</x:v>
      </x:c>
      <x:c r="J80" s="8" t="n">
        <x:v>8</x:v>
      </x:c>
      <x:c r="K80" s="8" t="n">
        <x:v>7</x:v>
      </x:c>
      <x:c r="L80" s="8" t="n">
        <x:v>7</x:v>
      </x:c>
      <x:c r="M80" s="8" t="n">
        <x:v>8</x:v>
      </x:c>
      <x:c r="N80" s="8" t="n">
        <x:v>6</x:v>
      </x:c>
      <x:c r="O80" s="8" t="n">
        <x:f>SUM(J80:N80)</x:f>
        <x:v>36</x:v>
      </x:c>
      <x:c r="P80" s="7" t="str">
        <x:v>Co-development; publishing; asset deal</x:v>
      </x:c>
      <x:c r="Q80" s="7" t="str">
        <x:v>Business Development</x:v>
      </x:c>
      <x:c r="R80" s="7" t="str">
        <x:v>Official contact; LinkedIn</x:v>
      </x:c>
      <x:c r="S80" s="7" t="str">
        <x:v>https://www.action2quare.com/</x:v>
      </x:c>
      <x:c r="T80" s="7" t="str">
        <x:v>Weak casual fit; target only for broad Korea publisher sweep.</x:v>
      </x:c>
      <x:c r="U80" s="7" t="str">
        <x:v>Official site and company profiles list game portfolio.</x:v>
      </x:c>
      <x:c r="V80" s="7" t="str">
        <x:v>https://www.action2quare.com/</x:v>
      </x:c>
      <x:c r="W80" s="7" t="str">
        <x:v>https://www.linkedin.com/company/action-square/</x:v>
      </x:c>
      <x:c r="X80" s="7" t="str">
        <x:v>https://store.steampowered.com/developer/actionsquare</x:v>
      </x:c>
      <x:c r="Y80" s="7" t="n">
        <x:f>COUNTA(V80:X80)</x:f>
        <x:v>3</x:v>
      </x:c>
      <x:c r="Z80" s="7" t="str">
        <x:v>Medium</x:v>
      </x:c>
      <x:c r="AA80" s="7" t="str">
        <x:v>C wave only.</x:v>
      </x:c>
      <x:c r="AB80" s="7" t="str">
        <x:v>Not Started</x:v>
      </x:c>
      <x:c r="AC80" s="7" t="str">
        <x:v>2026-06-02</x:v>
      </x:c>
      <x:c r="AD80" s="7" t="str"/>
      <x:c r="AE80" s="7" t="str"/>
      <x:c r="AF80" s="7" t="str">
        <x:v>中小型游戏发行/开发公司；公开资料未披露收入，按约11-200人级工作室处理。</x:v>
      </x:c>
      <x:c r="AG80" s="7" t="str">
        <x:v>Blade series, ANVIL, action games</x:v>
      </x:c>
      <x:c r="AH80" s="7" t="str">
        <x:v>未公开商务邮箱</x:v>
      </x:c>
      <x:c r="AI80" s="7" t="str">
        <x:v>未找到公开商务邮箱；建议使用官方联系入口：https://www.action2quare.com/</x:v>
      </x:c>
    </x:row>
    <x:row r="81">
      <x:c r="A81" s="7" t="str">
        <x:v>KR-080</x:v>
      </x:c>
      <x:c r="B81" s="7" t="str">
        <x:v>C</x:v>
      </x:c>
      <x:c r="C81" s="7" t="n">
        <x:v>80</x:v>
      </x:c>
      <x:c r="D81" s="7" t="str">
        <x:v>PangSky</x:v>
      </x:c>
      <x:c r="E81" s="7" t="str">
        <x:v>Korea</x:v>
      </x:c>
      <x:c r="F81" s="7" t="str">
        <x:v>Seoul, Korea</x:v>
      </x:c>
      <x:c r="G81" s="7" t="str">
        <x:v>https://www.panggame.com/</x:v>
      </x:c>
      <x:c r="H81" s="7" t="str">
        <x:v>Mobile/online game publisher</x:v>
      </x:c>
      <x:c r="I81" s="7" t="str">
        <x:v>Mobile RPG/MMO publishing in Korea; PangGame platform</x:v>
      </x:c>
      <x:c r="J81" s="8" t="n">
        <x:v>8</x:v>
      </x:c>
      <x:c r="K81" s="8" t="n">
        <x:v>6</x:v>
      </x:c>
      <x:c r="L81" s="8" t="n">
        <x:v>8</x:v>
      </x:c>
      <x:c r="M81" s="8" t="n">
        <x:v>7</x:v>
      </x:c>
      <x:c r="N81" s="8" t="n">
        <x:v>6</x:v>
      </x:c>
      <x:c r="O81" s="8" t="n">
        <x:f>SUM(J81:N81)</x:f>
        <x:v>35</x:v>
      </x:c>
      <x:c r="P81" s="7" t="str">
        <x:v>Korea publishing; distribution; revenue share</x:v>
      </x:c>
      <x:c r="Q81" s="7" t="str">
        <x:v>Publishing; Business Development</x:v>
      </x:c>
      <x:c r="R81" s="7" t="str">
        <x:v>Official contact; platform inquiry</x:v>
      </x:c>
      <x:c r="S81" s="7" t="str">
        <x:v>https://www.panggame.com/</x:v>
      </x:c>
      <x:c r="T81" s="7" t="str">
        <x:v>Regional publisher only; use if seeking Korea distribution breadth.</x:v>
      </x:c>
      <x:c r="U81" s="7" t="str">
        <x:v>Official site/platform and company profiles show publishing operations.</x:v>
      </x:c>
      <x:c r="V81" s="7" t="str">
        <x:v>https://www.panggame.com/</x:v>
      </x:c>
      <x:c r="W81" s="7" t="str">
        <x:v>https://www.pangsky.co.kr/</x:v>
      </x:c>
      <x:c r="X81" s="7" t="str">
        <x:v>https://www.mobygames.com/company/58584/pangsky-co-ltd/</x:v>
      </x:c>
      <x:c r="Y81" s="7" t="n">
        <x:f>COUNTA(V81:X81)</x:f>
        <x:v>3</x:v>
      </x:c>
      <x:c r="Z81" s="7" t="str">
        <x:v>Medium</x:v>
      </x:c>
      <x:c r="AA81" s="7" t="str">
        <x:v>C wave only.</x:v>
      </x:c>
      <x:c r="AB81" s="7" t="str">
        <x:v>Not Started</x:v>
      </x:c>
      <x:c r="AC81" s="7" t="str">
        <x:v>2026-06-02</x:v>
      </x:c>
      <x:c r="AD81" s="7" t="str"/>
      <x:c r="AE81" s="7" t="str"/>
      <x:c r="AF81" s="7" t="str">
        <x:v>中小型游戏发行/开发公司；公开资料未披露收入，按约11-200人级工作室处理。</x:v>
      </x:c>
      <x:c r="AG81" s="7" t="str">
        <x:v>Mobile RPG/MMO publishing in Korea; PangGame platform</x:v>
      </x:c>
      <x:c r="AH81" s="7" t="str">
        <x:v>未公开商务邮箱</x:v>
      </x:c>
      <x:c r="AI81" s="7" t="str">
        <x:v>未找到公开商务邮箱；建议使用官方联系入口：https://www.panggame.com/</x:v>
      </x:c>
    </x:row>
  </x:sheetData>
  <x:conditionalFormatting sqref="O2:O8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3">
    <x:dataValidation type="list" sqref="B2:B81">
      <x:formula1>"A,B,C"</x:formula1>
    </x:dataValidation>
    <x:dataValidation type="list" sqref="Z2:Z81">
      <x:formula1>"High,Medium,Low"</x:formula1>
    </x:dataValidation>
    <x:dataValidation type="list" sqref="AB2:AB81">
      <x:formula1>"Not Started,Sent,Replied,NDA,Meeting Booked,Passed,Follow-up"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48c88ff1f444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24.440000534057617" hidden="0" customWidth="1"/>
    <x:col min="3" max="3" width="8.329999923706055" hidden="0" customWidth="1"/>
    <x:col min="4" max="4" width="9.329999923706055" hidden="0" customWidth="1"/>
    <x:col min="5" max="5" width="36.66999816894531" hidden="0" customWidth="1"/>
    <x:col min="6" max="6" width="36.66999816894531" hidden="0" customWidth="1"/>
    <x:col min="7" max="7" width="26.670000076293945" hidden="0" customWidth="1"/>
    <x:col min="8" max="8" width="36.66999816894531" hidden="0" customWidth="1"/>
    <x:col min="9" max="9" width="40" hidden="0" customWidth="1"/>
    <x:col min="10" max="10" width="23.329999923706055" hidden="0" customWidth="1"/>
    <x:col min="11" max="11" width="24.440000534057617" hidden="0" customWidth="1"/>
    <x:col min="12" max="12" width="24.440000534057617" hidden="0" customWidth="1"/>
    <x:col min="13" max="13" width="40" hidden="0" customWidth="1"/>
    <x:col min="14" max="14" width="30" hidden="0" customWidth="1"/>
    <x:col min="15" max="15" width="46.66999816894531" hidden="0" customWidth="1"/>
  </x:cols>
  <x:sheetData>
    <x:row r="1">
      <x:c r="A1" s="11" t="str">
        <x:v>Rank</x:v>
      </x:c>
      <x:c r="B1" s="11" t="str">
        <x:v>Company</x:v>
      </x:c>
      <x:c r="C1" s="11" t="str">
        <x:v>Country</x:v>
      </x:c>
      <x:c r="D1" s="11" t="str">
        <x:v>Total Score</x:v>
      </x:c>
      <x:c r="E1" s="11" t="str">
        <x:v>Company Scale</x:v>
      </x:c>
      <x:c r="F1" s="11" t="str">
        <x:v>Representative Works</x:v>
      </x:c>
      <x:c r="G1" s="11" t="str">
        <x:v>Public Contact Email</x:v>
      </x:c>
      <x:c r="H1" s="11" t="str">
        <x:v>Email Note</x:v>
      </x:c>
      <x:c r="I1" s="11" t="str">
        <x:v>Why They May Care</x:v>
      </x:c>
      <x:c r="J1" s="11" t="str">
        <x:v>Best Deal Ask</x:v>
      </x:c>
      <x:c r="K1" s="11" t="str">
        <x:v>Suggested Entry</x:v>
      </x:c>
      <x:c r="L1" s="11" t="str">
        <x:v>Contact URL</x:v>
      </x:c>
      <x:c r="M1" s="11" t="str">
        <x:v>Opening Angle</x:v>
      </x:c>
      <x:c r="N1" s="11" t="str">
        <x:v>Watchouts</x:v>
      </x:c>
      <x:c r="O1" s="11" t="str">
        <x:v>Evidence Sources</x:v>
      </x:c>
    </x:row>
    <x:row r="2">
      <x:c r="A2" s="4" t="n">
        <x:v>1</x:v>
      </x:c>
      <x:c r="B2" s="4" t="str">
        <x:v>NCSOFT / NC</x:v>
      </x:c>
      <x:c r="C2" s="4" t="str">
        <x:v>Korea</x:v>
      </x:c>
      <x:c r="D2" s="4" t="n">
        <x:v>98</x:v>
      </x:c>
      <x:c r="E2" s="4" t="str">
        <x:v>2025年收入 KRW 1.51万亿，移动游戏收入 KRW 7,944亿；大型上市公司。</x:v>
      </x:c>
      <x:c r="F2" s="4" t="str">
        <x:v>Lineage 系列、AION、Guild Wars 2、THRONE AND LIBERTY；移动休闲布局含 Lihuhu/Springcomes/JustPlay。</x:v>
      </x:c>
      <x:c r="G2" s="4" t="str">
        <x:v>未公开商务邮箱</x:v>
      </x:c>
      <x:c r="H2" s="4" t="str">
        <x:v>未找到公开商务邮箱；建议使用官方联系入口：https://about.ncsoft.com/en</x:v>
      </x:c>
      <x:c r="I2" s="4" t="str">
        <x:v>2026 strategy explicitly names mobile casual as growth pillar and says additional acquisitions/publishing partnerships will expand ecosystem.</x:v>
      </x:c>
      <x:c r="J2" s="4" t="str">
        <x:v>Acquisition; strategic investment; publishing partnership</x:v>
      </x:c>
      <x:c r="K2" s="4" t="str">
        <x:v>Mobile Casual Center; Corporate Strategy; Corp Dev</x:v>
      </x:c>
      <x:c r="L2" s="4" t="str">
        <x:v>https://about.ncsoft.com/en</x:v>
      </x:c>
      <x:c r="M2" s="4" t="str">
        <x:v>Lead with verified US CPI/retention and Family Island-like casual adventure fit for their mobile casual ecosystem.</x:v>
      </x:c>
      <x:c r="N2" s="4" t="str">
        <x:v>Korean buyers may ask for UA/raw cohort data quickly; prepare CPI, D1/D7/D30, payback and creative tests.</x:v>
      </x:c>
      <x:c r="O2" s="4" t="str">
        <x:v>https://about.ncsoft.com/en/news/article/news_update_260312 | https://about.ncsoft.com/en/news/article/news_update_251222 | https://about.ncsoft.com/en/news/article/news_update_260311</x:v>
      </x:c>
    </x:row>
    <x:row r="3">
      <x:c r="A3" s="4" t="n">
        <x:v>2</x:v>
      </x:c>
      <x:c r="B3" s="4" t="str">
        <x:v>KRAFTON</x:v>
      </x:c>
      <x:c r="C3" s="4" t="str">
        <x:v>Korea</x:v>
      </x:c>
      <x:c r="D3" s="4" t="n">
        <x:v>91</x:v>
      </x:c>
      <x:c r="E3" s="4" t="str">
        <x:v>2025年收入 KRW 3.3266万亿，营业利润 KRW 1.0544万亿；19个创意工作室网络。</x:v>
      </x:c>
      <x:c r="F3" s="4" t="str">
        <x:v>PUBG: BATTLEGROUNDS、PUBG MOBILE、inZOI、Subnautica、Last Epoch。</x:v>
      </x:c>
      <x:c r="G3" s="4" t="str">
        <x:v>biz@krafton.com; ask@krafton.com</x:v>
      </x:c>
      <x:c r="H3" s="4" t="str">
        <x:v>官网 Contact Us 公开 Business/Others 邮箱；优先 biz@。</x:v>
      </x:c>
      <x:c r="I3" s="4" t="str">
        <x:v>2025 release states KRAFTON is building 13 new projects, targeted investments, and a scalable 2PP model.</x:v>
      </x:c>
      <x:c r="J3" s="4" t="str">
        <x:v>Strategic investment; 2PP publishing; acquisition; MG</x:v>
      </x:c>
      <x:c r="K3" s="4" t="str">
        <x:v>HQ Global Publishing; Investment; New IP/2PP team</x:v>
      </x:c>
      <x:c r="L3" s="4" t="str">
        <x:v>https://www.krafton.com/en/contact/</x:v>
      </x:c>
      <x:c r="M3" s="4" t="str">
        <x:v>Position as a validated external mobile project that can enter their scalable 2PP/IP discovery pipeline.</x:v>
      </x:c>
      <x:c r="N3" s="4" t="str">
        <x:v>Korean buyers may ask for UA/raw cohort data quickly; prepare CPI, D1/D7/D30, payback and creative tests.</x:v>
      </x:c>
      <x:c r="O3" s="4" t="str">
        <x:v>https://krafton.com/en/news/press/krafton-achieve-record-high-revenue-in-the-first-half-of-2025/ | https://www.krafton.com/en/news/press/krafton-acquires-eleventh-hour-games-creators-of-last-epoch/ | https://www.krafton.com/en/ir/</x:v>
      </x:c>
    </x:row>
    <x:row r="4">
      <x:c r="A4" s="4" t="n">
        <x:v>3</x:v>
      </x:c>
      <x:c r="B4" s="4" t="str">
        <x:v>Bandai Namco Entertainment / 021 Fund</x:v>
      </x:c>
      <x:c r="C4" s="4" t="str">
        <x:v>Japan</x:v>
      </x:c>
      <x:c r="D4" s="4" t="n">
        <x:v>88</x:v>
      </x:c>
      <x:c r="E4" s="4" t="str">
        <x:v>Bandai Namco Entertainment 员工约841人（2025/04）；母集团员工约1.1万人级。</x:v>
      </x:c>
      <x:c r="F4" s="4" t="str">
        <x:v>Dragon Ball、One Piece、Gundam、Tekken、Elden Ring 发行；021 Fund 面向外部娱乐/游戏创业公司。</x:v>
      </x:c>
      <x:c r="G4" s="4" t="str">
        <x:v>未公开商务邮箱</x:v>
      </x:c>
      <x:c r="H4" s="4" t="str">
        <x:v>未找到公开商务邮箱；建议使用官方联系入口：https://021fund.bn-ent.net/en/</x:v>
      </x:c>
      <x:c r="I4" s="4" t="str">
        <x:v>2025 021 Fund release says investment scope now includes domestic/overseas game studios and global publishing collaboration.</x:v>
      </x:c>
      <x:c r="J4" s="4" t="str">
        <x:v>Minority investment; publishing; strategic partnership; option to acquire</x:v>
      </x:c>
      <x:c r="K4" s="4" t="str">
        <x:v>Bandai Namco 021 Fund; External Production/Publishing</x:v>
      </x:c>
      <x:c r="L4" s="4" t="str">
        <x:v>https://021fund.bn-ent.net/en/</x:v>
      </x:c>
      <x:c r="M4" s="4" t="str">
        <x:v>Frame as an externally developed game studio with a globally testable casual simulation title and potential new IP.</x:v>
      </x:c>
      <x:c r="N4" s="4" t="str">
        <x:v>Japanese buyers may prefer stronger localization/IP plan; use concise Japanese follow-up after English opener.</x:v>
      </x:c>
      <x:c r="O4" s="4" t="str">
        <x:v>https://www.bandainamcoent.co.jp/pdfs/HP_20250611.pdf | https://021fund.bn-ent.net/en/ | https://www.bandainamcoent.co.jp/english/</x:v>
      </x:c>
    </x:row>
    <x:row r="5">
      <x:c r="A5" s="4" t="n">
        <x:v>4</x:v>
      </x:c>
      <x:c r="B5" s="4" t="str">
        <x:v>Com2uS Holdings</x:v>
      </x:c>
      <x:c r="C5" s="4" t="str">
        <x:v>Korea</x:v>
      </x:c>
      <x:c r="D5" s="4" t="n">
        <x:v>85</x:v>
      </x:c>
      <x:c r="E5" s="4" t="str">
        <x:v>公开资料称累计游戏下载超过3亿次；上市移动游戏集团。</x:v>
      </x:c>
      <x:c r="F5" s="4" t="str">
        <x:v>Gamevil/Com2uS Holdings 发行体系；外部开发者全球发行合作。</x:v>
      </x:c>
      <x:c r="G5" s="4" t="str">
        <x:v>未公开商务邮箱</x:v>
      </x:c>
      <x:c r="H5" s="4" t="str">
        <x:v>官网提供 Publishing/contact 入口；抓取到隐私邮箱，不建议用于BD。</x:v>
      </x:c>
      <x:c r="I5" s="4" t="str">
        <x:v>Official publishing page says developers worldwide can partner with Com2uS Holdings; IR materials show global mobile pipeline.</x:v>
      </x:c>
      <x:c r="J5" s="4" t="str">
        <x:v>Publishing; MG; strategic investment; regional/global launch</x:v>
      </x:c>
      <x:c r="K5" s="4" t="str">
        <x:v>Publishing team; Corporate Strategy</x:v>
      </x:c>
      <x:c r="L5" s="4" t="str">
        <x:v>https://holdings.com2us.com/en/about/game-business</x:v>
      </x:c>
      <x:c r="M5" s="4" t="str">
        <x:v>Emphasize global mobile publishing fit and short path to soft-launch decision using US KPI proof.</x:v>
      </x:c>
      <x:c r="N5" s="4" t="str">
        <x:v>Korean buyers may ask for UA/raw cohort data quickly; prepare CPI, D1/D7/D30, payback and creative tests.</x:v>
      </x:c>
      <x:c r="O5" s="4" t="str">
        <x:v>https://global.com2us.com/holdings/company/publishing | https://holdings.com2us.com/en/about/game-business | https://holdings.com2us.com/en/ir</x:v>
      </x:c>
    </x:row>
    <x:row r="6">
      <x:c r="A6" s="4" t="n">
        <x:v>5</x:v>
      </x:c>
      <x:c r="B6" s="4" t="str">
        <x:v>DeNA</x:v>
      </x:c>
      <x:c r="C6" s="4" t="str">
        <x:v>Japan</x:v>
      </x:c>
      <x:c r="D6" s="4" t="n">
        <x:v>84</x:v>
      </x:c>
      <x:c r="E6" s="4" t="str">
        <x:v>上市互联网/游戏集团；资本金约103.97亿日元（2025/03），集团年收入百亿日元级。</x:v>
      </x:c>
      <x:c r="F6" s="4" t="str">
        <x:v>Mobage、Pokémon Masters EX、FINAL FANTASY Record Keeper；Strategic Investment Office。</x:v>
      </x:c>
      <x:c r="G6" s="4" t="str">
        <x:v>未公开商务邮箱</x:v>
      </x:c>
      <x:c r="H6" s="4" t="str">
        <x:v>未找到公开商务邮箱；建议使用官方联系入口：https://dena.com/intl/services/invest.html</x:v>
      </x:c>
      <x:c r="I6" s="4" t="str">
        <x:v>DeNA states it provides capital plus Asia gateway and operational support to entrepreneurs; services page confirms mobile game operations.</x:v>
      </x:c>
      <x:c r="J6" s="4" t="str">
        <x:v>Strategic investment; publishing partnership; Japan/Asia distribution</x:v>
      </x:c>
      <x:c r="K6" s="4" t="str">
        <x:v>Strategic Investment Office; Game Business</x:v>
      </x:c>
      <x:c r="L6" s="4" t="str">
        <x:v>https://dena.com/intl/services/invest.html</x:v>
      </x:c>
      <x:c r="M6" s="4" t="str">
        <x:v>Pitch as entrepreneur-led mobile game team with validated US traction and Asia expansion optionality.</x:v>
      </x:c>
      <x:c r="N6" s="4" t="str">
        <x:v>Japanese buyers may prefer stronger localization/IP plan; use concise Japanese follow-up after English opener.</x:v>
      </x:c>
      <x:c r="O6" s="4" t="str">
        <x:v>https://dena.com/intl/services/invest.html | https://dena.com/intl/services/ | https://dena.com/intl/company/overview.html</x:v>
      </x:c>
    </x:row>
    <x:row r="7">
      <x:c r="A7" s="4" t="n">
        <x:v>6</x:v>
      </x:c>
      <x:c r="B7" s="4" t="str">
        <x:v>Com2uS</x:v>
      </x:c>
      <x:c r="C7" s="4" t="str">
        <x:v>Korea</x:v>
      </x:c>
      <x:c r="D7" s="4" t="n">
        <x:v>82</x:v>
      </x:c>
      <x:c r="E7" s="4" t="str">
        <x:v>上市移动游戏公司；Summoners War 全球长线运营，集团年收入千亿韩元级。</x:v>
      </x:c>
      <x:c r="F7" s="4" t="str">
        <x:v>Summoners War、MLB 9 Innings、Starseed、MiniGame Party。</x:v>
      </x:c>
      <x:c r="G7" s="4" t="str">
        <x:v>publishing@com2us.com</x:v>
      </x:c>
      <x:c r="H7" s="4" t="str">
        <x:v>Com2uS 韩文联系/Publishing 页面公开邮箱；适合发行提案。</x:v>
      </x:c>
      <x:c r="I7" s="4" t="str">
        <x:v>Com2uS describes broad mobile game portfolio and 2025/2026 global pipeline includes publishing titles.</x:v>
      </x:c>
      <x:c r="J7" s="4" t="str">
        <x:v>Publishing; MG; co-development; strategic investment</x:v>
      </x:c>
      <x:c r="K7" s="4" t="str">
        <x:v>Publishing; Business Development; Global Business</x:v>
      </x:c>
      <x:c r="L7" s="4" t="str">
        <x:v>https://www.com2us.com/en</x:v>
      </x:c>
      <x:c r="M7" s="4" t="str">
        <x:v>Lead with high-retention US mobile simulation title that can use Com2uS global publishing and LiveOps.</x:v>
      </x:c>
      <x:c r="N7" s="4" t="str">
        <x:v>Korean buyers may ask for UA/raw cohort data quickly; prepare CPI, D1/D7/D30, payback and creative tests.</x:v>
      </x:c>
      <x:c r="O7" s="4" t="str">
        <x:v>https://global.com2us.com/ | https://www.com2us.com/file/download/2346 | https://store.steampowered.com/publisher/Com2uS</x:v>
      </x:c>
    </x:row>
    <x:row r="8">
      <x:c r="A8" s="4" t="n">
        <x:v>7</x:v>
      </x:c>
      <x:c r="B8" s="4" t="str">
        <x:v>CyberAgent</x:v>
      </x:c>
      <x:c r="C8" s="4" t="str">
        <x:v>Japan</x:v>
      </x:c>
      <x:c r="D8" s="4" t="n">
        <x:v>79</x:v>
      </x:c>
      <x:c r="E8" s="4" t="str">
        <x:v>大型上市互联网/游戏集团；年销售额约8,000亿日元级，游戏子公司矩阵庞大。</x:v>
      </x:c>
      <x:c r="F8" s="4" t="str">
        <x:v>Cygames/SGE 系手机游戏矩阵，代表包括 Uma Musume、Granblue Fantasy、Shadowverse。</x:v>
      </x:c>
      <x:c r="G8" s="4" t="str">
        <x:v>未公开商务邮箱</x:v>
      </x:c>
      <x:c r="H8" s="4" t="str">
        <x:v>未找到公开商务邮箱；建议使用官方联系入口：https://www.cyberagent.co.jp/en/contact/</x:v>
      </x:c>
      <x:c r="I8" s="4" t="str">
        <x:v>Integrated report says CyberAgent has one of Japan's largest mobile game development structures and will focus on global expansion.</x:v>
      </x:c>
      <x:c r="J8" s="4" t="str">
        <x:v>Strategic partnership; publishing; investment; possible studio collaboration</x:v>
      </x:c>
      <x:c r="K8" s="4" t="str">
        <x:v>Game Business / SGE; Investment or IP strategy</x:v>
      </x:c>
      <x:c r="L8" s="4" t="str">
        <x:v>https://www.cyberagent.co.jp/en/contact/</x:v>
      </x:c>
      <x:c r="M8" s="4" t="str">
        <x:v>Position as a US-validated casual adventure title that could fit their overseas mobile growth agenda.</x:v>
      </x:c>
      <x:c r="N8" s="4" t="str">
        <x:v>Japanese buyers may prefer stronger localization/IP plan; use concise Japanese follow-up after English opener.</x:v>
      </x:c>
      <x:c r="O8" s="4" t="str">
        <x:v>https://report.cyberagent.co.jp/en/game/ | https://www.cyberagent.co.jp/en/news/detail/id=32862 | https://www.cyberagent.co.jp/en/ir/</x:v>
      </x:c>
    </x:row>
    <x:row r="9">
      <x:c r="A9" s="4" t="n">
        <x:v>8</x:v>
      </x:c>
      <x:c r="B9" s="4" t="str">
        <x:v>Netmarble</x:v>
      </x:c>
      <x:c r="C9" s="4" t="str">
        <x:v>Korea</x:v>
      </x:c>
      <x:c r="D9" s="4" t="n">
        <x:v>79</x:v>
      </x:c>
      <x:c r="E9" s="4" t="str">
        <x:v>大型上市移动发行商；2025年收入约KRW 2.7万亿级，旗下含 Kabam/SpinX/Jam City 等资产。</x:v>
      </x:c>
      <x:c r="F9" s="4" t="str">
        <x:v>MARVEL Future Fight、Seven Knights、Solo Leveling: ARISE、Ni no Kuni: Cross Worlds。</x:v>
      </x:c>
      <x:c r="G9" s="4" t="str">
        <x:v>netmarblebiz@netmarble.com</x:v>
      </x:c>
      <x:c r="H9" s="4" t="str">
        <x:v>官网公开 business 邮箱。</x:v>
      </x:c>
      <x:c r="I9" s="4" t="str">
        <x:v>2025 results page describes Netmarble as leading developer/publisher and lists major subsidiaries/holdings.</x:v>
      </x:c>
      <x:c r="J9" s="4" t="str">
        <x:v>Publishing; MG; strategic investment; acquisition if scale proven</x:v>
      </x:c>
      <x:c r="K9" s="4" t="str">
        <x:v>Global Publishing; Corporate Development; Investment</x:v>
      </x:c>
      <x:c r="L9" s="4" t="str">
        <x:v>https://company.netmarble.com/en</x:v>
      </x:c>
      <x:c r="M9" s="4" t="str">
        <x:v>Pitch as a validated US-tested mobile F2P title adjacent to their global mobile portfolio.</x:v>
      </x:c>
      <x:c r="N9" s="4" t="str">
        <x:v>Korean buyers may ask for UA/raw cohort data quickly; prepare CPI, D1/D7/D30, payback and creative tests.</x:v>
      </x:c>
      <x:c r="O9" s="4" t="str">
        <x:v>https://ch.netmarble.com/Eng/Newsroom/Detail?bbs_code=1020&amp;post_seq=6475&amp;post_tag=NETMARBLE | https://company.netmarble.com/en/company/about | https://company.netmarble.com/en/ir</x:v>
      </x:c>
    </x:row>
    <x:row r="10">
      <x:c r="A10" s="4" t="n">
        <x:v>9</x:v>
      </x:c>
      <x:c r="B10" s="4" t="str">
        <x:v>GREE Holdings / WFS</x:v>
      </x:c>
      <x:c r="C10" s="4" t="str">
        <x:v>Japan</x:v>
      </x:c>
      <x:c r="D10" s="4" t="n">
        <x:v>78</x:v>
      </x:c>
      <x:c r="E10" s="4" t="str">
        <x:v>上市游戏/投资集团；年收入数百亿日元级，WFS/GREE Studios/Pokelabo 等子品牌。</x:v>
      </x:c>
      <x:c r="F10" s="4" t="str">
        <x:v>Heaven Burns Red、Another Eden、Fishing Star、Magia Exedra/Pokelabo 相关项目。</x:v>
      </x:c>
      <x:c r="G10" s="4" t="str">
        <x:v>未公开商务邮箱</x:v>
      </x:c>
      <x:c r="H10" s="4" t="str">
        <x:v>未找到公开商务邮箱；建议使用官方联系入口：https://www.wfs.games/en/contact/</x:v>
      </x:c>
      <x:c r="I10" s="4" t="str">
        <x:v>GREE business overview lists Game and Investment businesses; 2025 restructuring moved live service games into WFS.</x:v>
      </x:c>
      <x:c r="J10" s="4" t="str">
        <x:v>Publishing; strategic investment; Japan/Asia partnership</x:v>
      </x:c>
      <x:c r="K10" s="4" t="str">
        <x:v>WFS live-service; GREE investment; business development</x:v>
      </x:c>
      <x:c r="L10" s="4" t="str">
        <x:v>https://www.wfs.games/en/contact/</x:v>
      </x:c>
      <x:c r="M10" s="4" t="str">
        <x:v>Present as a mobile live-service title with proven Western acquisition metrics and expandable content cadence.</x:v>
      </x:c>
      <x:c r="N10" s="4" t="str">
        <x:v>Japanese buyers may prefer stronger localization/IP plan; use concise Japanese follow-up after English opener.</x:v>
      </x:c>
      <x:c r="O10" s="4" t="str">
        <x:v>https://gree.co.jp/jp/en/business/index.html | https://www.wfs.games/en/ | https://www.gematsu.com/2024/11/gree-establishes-gree-studios-to-manage-consumer-games-business-live-service-games-business-absorbed-by-wfs</x:v>
      </x:c>
    </x:row>
    <x:row r="11">
      <x:c r="A11" s="4" t="n">
        <x:v>10</x:v>
      </x:c>
      <x:c r="B11" s="4" t="str">
        <x:v>MIXI</x:v>
      </x:c>
      <x:c r="C11" s="4" t="str">
        <x:v>Japan</x:v>
      </x:c>
      <x:c r="D11" s="4" t="n">
        <x:v>76</x:v>
      </x:c>
      <x:c r="E11" s="4" t="str">
        <x:v>上市数字娱乐集团；年收入千亿日元级，Monster Strike 为核心现金流。</x:v>
      </x:c>
      <x:c r="F11" s="4" t="str">
        <x:v>Monster Strike、Kotodaman、TIPSTAR/数字娱乐业务。</x:v>
      </x:c>
      <x:c r="G11" s="4" t="str">
        <x:v>未公开商务邮箱</x:v>
      </x:c>
      <x:c r="H11" s="4" t="str">
        <x:v>未找到公开商务邮箱；建议使用官方联系入口：https://invest.mixi.co.jp/</x:v>
      </x:c>
      <x:c r="I11" s="4" t="str">
        <x:v>MIXI corporate profile lists Digital Entertainment and Investment; investment site shows active investing activity.</x:v>
      </x:c>
      <x:c r="J11" s="4" t="str">
        <x:v>Strategic investment; publishing; Japan co-operation; MG</x:v>
      </x:c>
      <x:c r="K11" s="4" t="str">
        <x:v>Digital Entertainment; Investment</x:v>
      </x:c>
      <x:c r="L11" s="4" t="str">
        <x:v>https://invest.mixi.co.jp/</x:v>
      </x:c>
      <x:c r="M11" s="4" t="str">
        <x:v>Pitch as a mobile F2P title with US proof, asking whether investment or publishing support fits their digital entertainment goals.</x:v>
      </x:c>
      <x:c r="N11" s="4" t="str">
        <x:v>Japanese buyers may prefer stronger localization/IP plan; use concise Japanese follow-up after English opener.</x:v>
      </x:c>
      <x:c r="O11" s="4" t="str">
        <x:v>https://mixi.co.jp/en/company/profile/ | https://mixi.co.jp/en/business/investment/ | https://invest.mixi.co.jp/</x:v>
      </x:c>
    </x:row>
    <x:row r="12">
      <x:c r="A12" s="4" t="n">
        <x:v>11</x:v>
      </x:c>
      <x:c r="B12" s="4" t="str">
        <x:v>Smilegate Megaport</x:v>
      </x:c>
      <x:c r="C12" s="4" t="str">
        <x:v>Korea</x:v>
      </x:c>
      <x:c r="D12" s="4" t="n">
        <x:v>76</x:v>
      </x:c>
      <x:c r="E12" s="4" t="str">
        <x:v>Smilegate 集团发行板块；集团级公司，全球员工/业务规模千人级。</x:v>
      </x:c>
      <x:c r="F12" s="4" t="str">
        <x:v>Epic Seven、Lost Ark 全球业务、Smilegate Megaport 发行体系。</x:v>
      </x:c>
      <x:c r="G12" s="4" t="str">
        <x:v>sgp_biz@smilegate.com</x:v>
      </x:c>
      <x:c r="H12" s="4" t="str">
        <x:v>Smilegate Megaport 业务页公开邮箱。</x:v>
      </x:c>
      <x:c r="I12" s="4" t="str">
        <x:v>Smilegate official site highlights publishing activity and global business expansion.</x:v>
      </x:c>
      <x:c r="J12" s="4" t="str">
        <x:v>Publishing; MG; strategic partnership; minority investment</x:v>
      </x:c>
      <x:c r="K12" s="4" t="str">
        <x:v>Smilegate Megaport; Global Business; Investment</x:v>
      </x:c>
      <x:c r="L12" s="4" t="str">
        <x:v>https://www.smilegate.com/en/</x:v>
      </x:c>
      <x:c r="M12" s="4" t="str">
        <x:v>Lead with global-ready mobile F2P and ask whether Megaport wants a US-tested casual simulation title.</x:v>
      </x:c>
      <x:c r="N12" s="4" t="str">
        <x:v>Korean buyers may ask for UA/raw cohort data quickly; prepare CPI, D1/D7/D30, payback and creative tests.</x:v>
      </x:c>
      <x:c r="O12" s="4" t="str">
        <x:v>https://www.smilegate.com/en/ | https://www.smilegate.com/business/megaport.do | https://www.smilegate.com/en/news/list.do</x:v>
      </x:c>
    </x:row>
    <x:row r="13">
      <x:c r="A13" s="4" t="n">
        <x:v>12</x:v>
      </x:c>
      <x:c r="B13" s="4" t="str">
        <x:v>KLab</x:v>
      </x:c>
      <x:c r="C13" s="4" t="str">
        <x:v>Japan</x:v>
      </x:c>
      <x:c r="D13" s="4" t="n">
        <x:v>72</x:v>
      </x:c>
      <x:c r="E13" s="4" t="str">
        <x:v>上市移动游戏公司；资本金约89.3亿日元，移动游戏开发运营团队。</x:v>
      </x:c>
      <x:c r="F13" s="4" t="str">
        <x:v>Bleach: Brave Souls、Captain Tsubasa: Dream Team、Love Live! 相关历史项目。</x:v>
      </x:c>
      <x:c r="G13" s="4" t="str">
        <x:v>未公开商务邮箱</x:v>
      </x:c>
      <x:c r="H13" s="4" t="str">
        <x:v>未找到公开商务邮箱；建议使用官方联系入口：https://www.klab.com/en/contact/</x:v>
      </x:c>
      <x:c r="I13" s="4" t="str">
        <x:v>KLab official releases describe global mobile launches and overseas support model.</x:v>
      </x:c>
      <x:c r="J13" s="4" t="str">
        <x:v>Publishing; co-development; Japan/IP collaboration; MG</x:v>
      </x:c>
      <x:c r="K13" s="4" t="str">
        <x:v>Overseas Game Development Support; Business Development</x:v>
      </x:c>
      <x:c r="L13" s="4" t="str">
        <x:v>https://www.klab.com/en/contact/</x:v>
      </x:c>
      <x:c r="M13" s="4" t="str">
        <x:v>Emphasize that the game does not require major Japanese IP, but can leverage KLab's global mobile operating experience.</x:v>
      </x:c>
      <x:c r="N13" s="4" t="str">
        <x:v>Japanese buyers may prefer stronger localization/IP plan; use concise Japanese follow-up after English opener.</x:v>
      </x:c>
      <x:c r="O13" s="4" t="str">
        <x:v>https://www.klab.com/en/ | https://www.klab.com/en/press/release/2025/0801/flyhigh.html | https://www.klab.com/en/ir/</x:v>
      </x:c>
    </x:row>
    <x:row r="14">
      <x:c r="A14" s="4" t="n">
        <x:v>13</x:v>
      </x:c>
      <x:c r="B14" s="4" t="str">
        <x:v>Kakao Games</x:v>
      </x:c>
      <x:c r="C14" s="4" t="str">
        <x:v>Korea</x:v>
      </x:c>
      <x:c r="D14" s="4" t="n">
        <x:v>72</x:v>
      </x:c>
      <x:c r="E14" s="4" t="str">
        <x:v>上市游戏发行商；年收入数千亿韩元级，拥有 XLGAMES/Lionheart/Ocean Drive 等工作室。</x:v>
      </x:c>
      <x:c r="F14" s="4" t="str">
        <x:v>Odin: Valhalla Rising、Uma Musume KR、Eversoul、ArcheAge War。</x:v>
      </x:c>
      <x:c r="G14" s="4" t="str">
        <x:v>contact@kakaogames.com</x:v>
      </x:c>
      <x:c r="H14" s="4" t="str">
        <x:v>官网 Contact 页面公开邮箱；页面标注 receive-only，建议并行表单/LinkedIn。</x:v>
      </x:c>
      <x:c r="I14" s="4" t="str">
        <x:v>Official site positions Kakao Games as global multi-platform publisher with mobile portfolio and IR materials.</x:v>
      </x:c>
      <x:c r="J14" s="4" t="str">
        <x:v>Publishing; MG; strategic investment; Korea/Japan operation</x:v>
      </x:c>
      <x:c r="K14" s="4" t="str">
        <x:v>Global Business; Mobile Publishing; Investment</x:v>
      </x:c>
      <x:c r="L14" s="4" t="str">
        <x:v>https://www.kakaogamescorp.com/en/customer/contact</x:v>
      </x:c>
      <x:c r="M14" s="4" t="str">
        <x:v>Pitch as a mobile F2P project with US proof and a clear Japan/Korea localization path.</x:v>
      </x:c>
      <x:c r="N14" s="4" t="str">
        <x:v>Korean buyers may ask for UA/raw cohort data quickly; prepare CPI, D1/D7/D30, payback and creative tests.</x:v>
      </x:c>
      <x:c r="O14" s="4" t="str">
        <x:v>https://www.kakaogamescorp.com/en | https://www.kakaogamescorp.com/en/ir/irData | https://www.kakaogamescorp.com/en/game</x:v>
      </x:c>
    </x:row>
    <x:row r="15">
      <x:c r="A15" s="4" t="n">
        <x:v>14</x:v>
      </x:c>
      <x:c r="B15" s="4" t="str">
        <x:v>NEOWIZ</x:v>
      </x:c>
      <x:c r="C15" s="4" t="str">
        <x:v>Korea</x:v>
      </x:c>
      <x:c r="D15" s="4" t="n">
        <x:v>72</x:v>
      </x:c>
      <x:c r="E15" s="4" t="str">
        <x:v>上市发行/开发公司；年收入数千亿韩元级，PC/主机/移动组合。</x:v>
      </x:c>
      <x:c r="F15" s="4" t="str">
        <x:v>Lies of P、BrownDust2、Sanabi、DJMAX RESPECT。</x:v>
      </x:c>
      <x:c r="G15" s="4" t="str">
        <x:v>未公开商务邮箱</x:v>
      </x:c>
      <x:c r="H15" s="4" t="str">
        <x:v>未找到公开商务邮箱；建议使用官方联系入口：https://www.neowiz.com/neowiz</x:v>
      </x:c>
      <x:c r="I15" s="4" t="str">
        <x:v>Recent investor/news coverage shows focus on global IP and partner collaborations; official IR has in-house/publishing pipeline.</x:v>
      </x:c>
      <x:c r="J15" s="4" t="str">
        <x:v>Publishing; co-development; strategic investment</x:v>
      </x:c>
      <x:c r="K15" s="4" t="str">
        <x:v>Global Publishing; Business Development; Corporate Strategy</x:v>
      </x:c>
      <x:c r="L15" s="4" t="str">
        <x:v>https://www.neowiz.com/neowiz</x:v>
      </x:c>
      <x:c r="M15" s="4" t="str">
        <x:v>Position as external global IP candidate, with mobile casual economics distinct from their PC/console pipeline.</x:v>
      </x:c>
      <x:c r="N15" s="4" t="str">
        <x:v>Korean buyers may ask for UA/raw cohort data quickly; prepare CPI, D1/D7/D30, payback and creative tests.</x:v>
      </x:c>
      <x:c r="O15" s="4" t="str">
        <x:v>https://cdn.neowiz.com/neowiz-site/assets/ir-library/Q1-2025_NWZ_PPT_EN-dggcl9vz-xkoamocn.pdf | https://www.neowiz.com/neowiz | https://store.steampowered.com/publisher/NEOWIZ</x:v>
      </x:c>
    </x:row>
    <x:row r="16">
      <x:c r="A16" s="4" t="n">
        <x:v>15</x:v>
      </x:c>
      <x:c r="B16" s="4" t="str">
        <x:v>COLOPL</x:v>
      </x:c>
      <x:c r="C16" s="4" t="str">
        <x:v>Japan</x:v>
      </x:c>
      <x:c r="D16" s="4" t="n">
        <x:v>69</x:v>
      </x:c>
      <x:c r="E16" s="4" t="str">
        <x:v>上市移动游戏公司；年收入数百亿日元级，另有 COLOPL NEXT 投资平台。</x:v>
      </x:c>
      <x:c r="F16" s="4" t="str">
        <x:v>White Cat Project、Dragon Project、Alice Gear Aegis；COLOPL NEXT 投资。</x:v>
      </x:c>
      <x:c r="G16" s="4" t="str">
        <x:v>help@colopl.jp</x:v>
      </x:c>
      <x:c r="H16" s="4" t="str">
        <x:v>官网 Contact 页面公开 help@；偏客服/通用邮箱，另有多款游戏 support 邮箱已排除；BD仍建议并行 COLOPL NEXT/官网入口。</x:v>
      </x:c>
      <x:c r="I16" s="4" t="str">
        <x:v>COLOPL official pages cover mobile entertainment; COLOPL NEXT provides venture investment pathway.</x:v>
      </x:c>
      <x:c r="J16" s="4" t="str">
        <x:v>Strategic investment; publishing; co-development</x:v>
      </x:c>
      <x:c r="K16" s="4" t="str">
        <x:v>COLOPL NEXT; Game Business; BD</x:v>
      </x:c>
      <x:c r="L16" s="4" t="str">
        <x:v>https://www.coloplnext.co.jp/en/</x:v>
      </x:c>
      <x:c r="M16" s="4" t="str">
        <x:v>Pitch as a mobile casual-adventure studio with US proof and potential portfolio extension.</x:v>
      </x:c>
      <x:c r="N16" s="4" t="str">
        <x:v>Japanese buyers may prefer stronger localization/IP plan; use concise Japanese follow-up after English opener.</x:v>
      </x:c>
      <x:c r="O16" s="4" t="str">
        <x:v>https://colopl.co.jp/en/ | https://www.coloplnext.co.jp/en/ | https://colopl.co.jp/en/ir/</x:v>
      </x:c>
    </x:row>
    <x:row r="17">
      <x:c r="A17" s="4" t="n">
        <x:v>16</x:v>
      </x:c>
      <x:c r="B17" s="4" t="str">
        <x:v>gumi</x:v>
      </x:c>
      <x:c r="C17" s="4" t="str">
        <x:v>Japan</x:v>
      </x:c>
      <x:c r="D17" s="4" t="n">
        <x:v>69</x:v>
      </x:c>
      <x:c r="E17" s="4" t="str">
        <x:v>上市移动游戏/区块链娱乐公司；年收入百亿日元级。</x:v>
      </x:c>
      <x:c r="F17" s="4" t="str">
        <x:v>Brave Frontier、Final Fantasy Brave Exvius、Aster Tatariqus。</x:v>
      </x:c>
      <x:c r="G17" s="4" t="str">
        <x:v>未公开商务邮箱</x:v>
      </x:c>
      <x:c r="H17" s="4" t="str">
        <x:v>未找到公开商务邮箱；建议使用官方联系入口：https://gu3.co.jp/en/contact/</x:v>
      </x:c>
      <x:c r="I17" s="4" t="str">
        <x:v>gumi official pages describe mobile online game experience and investment/business cooperation in emerging entertainment.</x:v>
      </x:c>
      <x:c r="J17" s="4" t="str">
        <x:v>Publishing; co-development; strategic investment; asset deal</x:v>
      </x:c>
      <x:c r="K17" s="4" t="str">
        <x:v>Game business; Investment/Blockchain strategy; BD</x:v>
      </x:c>
      <x:c r="L17" s="4" t="str">
        <x:v>https://gu3.co.jp/en/contact/</x:v>
      </x:c>
      <x:c r="M17" s="4" t="str">
        <x:v>Position as a proven F2P mobile project with less speculative risk than early blockchain content.</x:v>
      </x:c>
      <x:c r="N17" s="4" t="str">
        <x:v>Japanese buyers may prefer stronger localization/IP plan; use concise Japanese follow-up after English opener.</x:v>
      </x:c>
      <x:c r="O17" s="4" t="str">
        <x:v>https://gu3.co.jp/en/ | https://gu3.co.jp/en/blockchain/ | https://gu3.co.jp/en/ir/</x:v>
      </x:c>
    </x:row>
    <x:row r="18">
      <x:c r="A18" s="4" t="n">
        <x:v>17</x:v>
      </x:c>
      <x:c r="B18" s="4" t="str">
        <x:v>GungHo Online Entertainment</x:v>
      </x:c>
      <x:c r="C18" s="4" t="str">
        <x:v>Japan</x:v>
      </x:c>
      <x:c r="D18" s="4" t="n">
        <x:v>69</x:v>
      </x:c>
      <x:c r="E18" s="4" t="str">
        <x:v>上市移动/在线游戏公司；年收入千亿日元级，Puzzle &amp; Dragons 为核心。</x:v>
      </x:c>
      <x:c r="F18" s="4" t="str">
        <x:v>Puzzle &amp; Dragons、Ragnarok Online DS/相关合作、Ninjala。</x:v>
      </x:c>
      <x:c r="G18" s="4" t="str">
        <x:v>未公开商务邮箱</x:v>
      </x:c>
      <x:c r="H18" s="4" t="str">
        <x:v>未找到公开商务邮箱；建议使用官方联系入口：https://www.gungho.co.jp/en/contact/</x:v>
      </x:c>
      <x:c r="I18" s="4" t="str">
        <x:v>Official corporate pages show mobile game operations, global group, and investor communications.</x:v>
      </x:c>
      <x:c r="J18" s="4" t="str">
        <x:v>Publishing; MG; co-development; minority investment</x:v>
      </x:c>
      <x:c r="K18" s="4" t="str">
        <x:v>Business Development; Global Publishing</x:v>
      </x:c>
      <x:c r="L18" s="4" t="str">
        <x:v>https://www.gungho.co.jp/en/contact/</x:v>
      </x:c>
      <x:c r="M18" s="4" t="str">
        <x:v>Frame as a casual F2P simulation project with proven retention and low creative risk.</x:v>
      </x:c>
      <x:c r="N18" s="4" t="str">
        <x:v>Japanese buyers may prefer stronger localization/IP plan; use concise Japanese follow-up after English opener.</x:v>
      </x:c>
      <x:c r="O18" s="4" t="str">
        <x:v>https://www.gungho.co.jp/en/ | https://www.gungho.co.jp/en/ir/ | https://www.gungho.co.jp/en/game/</x:v>
      </x:c>
    </x:row>
    <x:row r="19">
      <x:c r="A19" s="4" t="n">
        <x:v>18</x:v>
      </x:c>
      <x:c r="B19" s="4" t="str">
        <x:v>Supercent</x:v>
      </x:c>
      <x:c r="C19" s="4" t="str">
        <x:v>Korea</x:v>
      </x:c>
      <x:c r="D19" s="4" t="n">
        <x:v>69</x:v>
      </x:c>
      <x:c r="E19" s="4" t="str">
        <x:v>中小型休闲手游公司；公开公司资料常见规模约51-200人级。</x:v>
      </x:c>
      <x:c r="F19" s="4" t="str">
        <x:v>Burger Please!、Outlets Rush、Pizza Ready!、Snake Clash；官网显示累计下载 1.5B+、累计收入 $380M+。</x:v>
      </x:c>
      <x:c r="G19" s="4" t="str">
        <x:v>help@supercent.io</x:v>
      </x:c>
      <x:c r="H19" s="4" t="str">
        <x:v>官网英文 About、韩文公司页、Terms/Privacy 等页面均公开 help@supercent.io；偏通用/客服邮箱，BD仍建议并行 Submit Your Game/Publishing 入口。</x:v>
      </x:c>
      <x:c r="I19" s="4" t="str">
        <x:v>Official site positions Supercent around casual mobile publishing and developer partnerships.</x:v>
      </x:c>
      <x:c r="J19" s="4" t="str">
        <x:v>Publishing; MG; UA partnership; lightweight investment</x:v>
      </x:c>
      <x:c r="K19" s="4" t="str">
        <x:v>Publishing; Developer Relations</x:v>
      </x:c>
      <x:c r="L19" s="4" t="str">
        <x:v>https://supercent.io/</x:v>
      </x:c>
      <x:c r="M19" s="4" t="str">
        <x:v>Lead with CPI/retention details and ask for hybrid-casual scaling perspective.</x:v>
      </x:c>
      <x:c r="N19" s="4" t="str">
        <x:v>Korean buyers may ask for UA/raw cohort data quickly; prepare CPI, D1/D7/D30, payback and creative tests.</x:v>
      </x:c>
      <x:c r="O19" s="4" t="str">
        <x:v>https://supercent.io/ | https://www.linkedin.com/company/supercent/ | https://supercent.io/contact</x:v>
      </x:c>
    </x:row>
    <x:row r="20">
      <x:c r="A20" s="4" t="n">
        <x:v>19</x:v>
      </x:c>
      <x:c r="B20" s="4" t="str">
        <x:v>111Percent</x:v>
      </x:c>
      <x:c r="C20" s="4" t="str">
        <x:v>Korea</x:v>
      </x:c>
      <x:c r="D20" s="4" t="n">
        <x:v>67</x:v>
      </x:c>
      <x:c r="E20" s="4" t="str">
        <x:v>中小型休闲手游公司；公开公司资料常见规模约51-200人级。</x:v>
      </x:c>
      <x:c r="F20" s="4" t="str">
        <x:v>Random Dice 系列、B.B.TAN、Wild Tamer；Supercent 生态相关。</x:v>
      </x:c>
      <x:c r="G20" s="4" t="str">
        <x:v>未公开商务邮箱</x:v>
      </x:c>
      <x:c r="H20" s="4" t="str">
        <x:v>未找到公开商务邮箱；建议使用官方联系入口：https://111percent.net/en/contact/</x:v>
      </x:c>
      <x:c r="I20" s="4" t="str">
        <x:v>Official site lists mobile casual portfolio and company focus.</x:v>
      </x:c>
      <x:c r="J20" s="4" t="str">
        <x:v>Publishing; UA partnership; strategic collaboration</x:v>
      </x:c>
      <x:c r="K20" s="4" t="str">
        <x:v>Publishing; Business Development; Supercent relationship</x:v>
      </x:c>
      <x:c r="L20" s="4" t="str">
        <x:v>https://111percent.net/en/contact/</x:v>
      </x:c>
      <x:c r="M20" s="4" t="str">
        <x:v>Position as proven casual-sim title; ask whether 111% or Supercent is the right evaluation path.</x:v>
      </x:c>
      <x:c r="N20" s="4" t="str">
        <x:v>Korean buyers may ask for UA/raw cohort data quickly; prepare CPI, D1/D7/D30, payback and creative tests.</x:v>
      </x:c>
      <x:c r="O20" s="4" t="str">
        <x:v>https://111percent.net/en/ | https://111percent.net/en/games/ | https://www.linkedin.com/company/111percent/</x:v>
      </x:c>
    </x:row>
    <x:row r="21">
      <x:c r="A21" s="4" t="n">
        <x:v>20</x:v>
      </x:c>
      <x:c r="B21" s="4" t="str">
        <x:v>KADOKAWA</x:v>
      </x:c>
      <x:c r="C21" s="4" t="str">
        <x:v>Japan</x:v>
      </x:c>
      <x:c r="D21" s="4" t="n">
        <x:v>66</x:v>
      </x:c>
      <x:c r="E21" s="4" t="str">
        <x:v>大型上市媒体/IP集团；集团年收入数千亿日元级，游戏为内容/IP组合之一。</x:v>
      </x:c>
      <x:c r="F21" s="4" t="str">
        <x:v>FromSoftware/Spike Chunsoft 相关持股与出版/IP生态；游戏/IP投资合作。</x:v>
      </x:c>
      <x:c r="G21" s="4" t="str">
        <x:v>未公开商务邮箱</x:v>
      </x:c>
      <x:c r="H21" s="4" t="str">
        <x:v>未找到公开商务邮箱；建议使用官方联系入口：https://group.kadokawa.co.jp/global/contact/</x:v>
      </x:c>
      <x:c r="I21" s="4" t="str">
        <x:v>KADOKAWA integrated reports discuss game developer investments and IP/global expansion.</x:v>
      </x:c>
      <x:c r="J21" s="4" t="str">
        <x:v>Strategic investment; IP/game partnership; acquisition if IP angle strong</x:v>
      </x:c>
      <x:c r="K21" s="4" t="str">
        <x:v>Game business; Corporate Strategy; Investment/Alliance</x:v>
      </x:c>
      <x:c r="L21" s="4" t="str">
        <x:v>https://group.kadokawa.co.jp/global/contact/</x:v>
      </x:c>
      <x:c r="M21" s="4" t="str">
        <x:v>Best if pitched as an original world/IP plus mobile live-service system, not just a pure UA play.</x:v>
      </x:c>
      <x:c r="N21" s="4" t="str">
        <x:v>Japanese buyers may prefer stronger localization/IP plan; use concise Japanese follow-up after English opener.</x:v>
      </x:c>
      <x:c r="O21" s="4" t="str">
        <x:v>https://group.kadokawa.co.jp/global/ | https://group.kadokawa.co.jp/ir/library/integrated_report.html | https://group.kadokawa.co.jp/media/ir/media-download/1851/8394a61e1784306e/</x:v>
      </x:c>
    </x:row>
  </x:sheetData>
  <x:pageMargins left="0.7" right="0.7" top="0.75" bottom="0.75" header="0.3" footer="0.3"/>
  <x:tableParts count="1">
    <x:tablePart xmlns:r="http://schemas.openxmlformats.org/officeDocument/2006/relationships" r:id="R0613d74db6cd4b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0.5600004196167" hidden="0" customWidth="1"/>
    <x:col min="3" max="3" width="47.779998779296875" hidden="0" customWidth="1"/>
    <x:col min="4" max="4" width="46.66999816894531" hidden="0" customWidth="1"/>
  </x:cols>
  <x:sheetData>
    <x:row r="1">
      <x:c r="A1" s="14" t="str">
        <x:v>Category</x:v>
      </x:c>
      <x:c r="B1" s="14" t="str">
        <x:v>Max Points</x:v>
      </x:c>
      <x:c r="C1" s="14" t="str">
        <x:v>What to look for</x:v>
      </x:c>
      <x:c r="D1" s="14" t="str">
        <x:v>Default rule</x:v>
      </x:c>
    </x:row>
    <x:row r="2">
      <x:c r="A2" s="15" t="str">
        <x:v>Strategic Fit</x:v>
      </x:c>
      <x:c r="B2" s="15" t="n">
        <x:v>30</x:v>
      </x:c>
      <x:c r="C2" s="15" t="str">
        <x:v>Clear strategic reason to want a US-tested Family Island-like casual adventure/simulation title.</x:v>
      </x:c>
      <x:c r="D2" s="15" t="str">
        <x:v>30 = active casual/mobile growth agenda; 15 = broad games but weak genre fit.</x:v>
      </x:c>
    </x:row>
    <x:row r="3">
      <x:c r="A3" s="15" t="str">
        <x:v>Investment/M&amp;A Signal</x:v>
      </x:c>
      <x:c r="B3" s="15" t="n">
        <x:v>25</x:v>
      </x:c>
      <x:c r="C3" s="15" t="str">
        <x:v>Recent investments, acquisitions, CVC/fund activity, public strategy, or explicit publishing partnership appetite.</x:v>
      </x:c>
      <x:c r="D3" s="15" t="str">
        <x:v>25 = current acquisition/publishing mandate; 10 = only generic corp dev capacity.</x:v>
      </x:c>
    </x:row>
    <x:row r="4">
      <x:c r="A4" s="15" t="str">
        <x:v>Casual/Relevance</x:v>
      </x:c>
      <x:c r="B4" s="15" t="n">
        <x:v>20</x:v>
      </x:c>
      <x:c r="C4" s="15" t="str">
        <x:v>Casual, hybrid-casual, merge, simulation, cozy/social, or mobile F2P operating experience.</x:v>
      </x:c>
      <x:c r="D4" s="15" t="str">
        <x:v>20 = direct casual/merge/sim fit; 8 = primarily hardcore/PC/console.</x:v>
      </x:c>
    </x:row>
    <x:row r="5">
      <x:c r="A5" s="15" t="str">
        <x:v>Funds/Publishing</x:v>
      </x:c>
      <x:c r="B5" s="15" t="n">
        <x:v>15</x:v>
      </x:c>
      <x:c r="C5" s="15" t="str">
        <x:v>Ability to write MG/investment checks and/or operate global launch, UA, LiveOps, localization.</x:v>
      </x:c>
      <x:c r="D5" s="15" t="str">
        <x:v>15 = strong capital plus global publishing; 8 = regional/smaller operator.</x:v>
      </x:c>
    </x:row>
    <x:row r="6">
      <x:c r="A6" s="15" t="str">
        <x:v>Reachability</x:v>
      </x:c>
      <x:c r="B6" s="15" t="n">
        <x:v>10</x:v>
      </x:c>
      <x:c r="C6" s="15" t="str">
        <x:v>Clear public contact, publishing intake, investor page, LinkedIn presence, or known BD doorway.</x:v>
      </x:c>
      <x:c r="D6" s="15" t="str">
        <x:v>10 = clear submission/contact path; 4 = only generic corporate page.</x:v>
      </x:c>
    </x:row>
    <x:row r="7">
      <x:c r="A7" s="15" t="str">
        <x:v>Tiering</x:v>
      </x:c>
      <x:c r="B7" s="15" t="str"/>
      <x:c r="C7" s="15" t="str">
        <x:v>A = first 20 by score; B = next 40; C = final 20 lower-probability or referral-needed targets.</x:v>
      </x:c>
      <x:c r="D7" s="15" t="str">
        <x:v>Re-tier after receiving actual KPI ranges and warm intro availability.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24.440000534057617" hidden="0" customWidth="1"/>
    <x:col min="3" max="3" width="8.329999923706055" hidden="0" customWidth="1"/>
    <x:col min="4" max="4" width="6.670000076293945" hidden="0" customWidth="1"/>
    <x:col min="5" max="5" width="40" hidden="0" customWidth="1"/>
    <x:col min="6" max="6" width="12.220000267028809" hidden="0" customWidth="1"/>
    <x:col min="7" max="7" width="12.779999732971191" hidden="0" customWidth="1"/>
    <x:col min="8" max="8" width="11.670000076293945" hidden="0" customWidth="1"/>
    <x:col min="9" max="9" width="11.670000076293945" hidden="0" customWidth="1"/>
    <x:col min="10" max="10" width="11.670000076293945" hidden="0" customWidth="1"/>
    <x:col min="11" max="11" width="11.670000076293945" hidden="0" customWidth="1"/>
    <x:col min="12" max="12" width="28.889999389648438" hidden="0" customWidth="1"/>
    <x:col min="13" max="13" width="31.110000610351562" hidden="0" customWidth="1"/>
  </x:cols>
  <x:sheetData>
    <x:row r="1">
      <x:c r="A1" s="18" t="str">
        <x:v>Priority</x:v>
      </x:c>
      <x:c r="B1" s="18" t="str">
        <x:v>Company</x:v>
      </x:c>
      <x:c r="C1" s="18" t="str">
        <x:v>Country</x:v>
      </x:c>
      <x:c r="D1" s="18" t="str">
        <x:v>Tier</x:v>
      </x:c>
      <x:c r="E1" s="18" t="str">
        <x:v>Recommended First Action</x:v>
      </x:c>
      <x:c r="F1" s="18" t="str">
        <x:v>Owner</x:v>
      </x:c>
      <x:c r="G1" s="18" t="str">
        <x:v>Status</x:v>
      </x:c>
      <x:c r="H1" s="18" t="str">
        <x:v>First Sent</x:v>
      </x:c>
      <x:c r="I1" s="18" t="str">
        <x:v>Follow-up 1</x:v>
      </x:c>
      <x:c r="J1" s="18" t="str">
        <x:v>Follow-up 2</x:v>
      </x:c>
      <x:c r="K1" s="18" t="str">
        <x:v>Follow-up 3</x:v>
      </x:c>
      <x:c r="L1" s="18" t="str">
        <x:v>Reply Notes</x:v>
      </x:c>
      <x:c r="M1" s="18" t="str">
        <x:v>Next Action</x:v>
      </x:c>
    </x:row>
    <x:row r="2">
      <x:c r="A2" s="4" t="n">
        <x:v>1</x:v>
      </x:c>
      <x:c r="B2" s="4" t="str">
        <x:v>NCSOFT / NC</x:v>
      </x:c>
      <x:c r="C2" s="4" t="str">
        <x:v>Korea</x:v>
      </x:c>
      <x:c r="D2" s="4" t="str">
        <x:v>A</x:v>
      </x:c>
      <x:c r="E2" s="4" t="str">
        <x:v>Send tailored teaser to corp strategy and Mobile Casual Center; ask for 30-minute fit call.</x:v>
      </x:c>
      <x:c r="F2" s="4" t="str"/>
      <x:c r="G2" s="4" t="str">
        <x:v>Not Started</x:v>
      </x:c>
      <x:c r="H2" s="4" t="str"/>
      <x:c r="I2" s="4" t="str"/>
      <x:c r="J2" s="4" t="str"/>
      <x:c r="K2" s="4" t="str"/>
      <x:c r="L2" s="4" t="str"/>
      <x:c r="M2" s="4" t="str">
        <x:v>Prepare tailored email and attach 1-page teaser + deck link.</x:v>
      </x:c>
    </x:row>
    <x:row r="3">
      <x:c r="A3" s="4" t="n">
        <x:v>2</x:v>
      </x:c>
      <x:c r="B3" s="4" t="str">
        <x:v>KRAFTON</x:v>
      </x:c>
      <x:c r="C3" s="4" t="str">
        <x:v>Korea</x:v>
      </x:c>
      <x:c r="D3" s="4" t="str">
        <x:v>A</x:v>
      </x:c>
      <x:c r="E3" s="4" t="str">
        <x:v>Approach Global Publishing/2PP; include gameplay video and KPI one-pager.</x:v>
      </x:c>
      <x:c r="F3" s="4" t="str"/>
      <x:c r="G3" s="4" t="str">
        <x:v>Not Started</x:v>
      </x:c>
      <x:c r="H3" s="4" t="str"/>
      <x:c r="I3" s="4" t="str"/>
      <x:c r="J3" s="4" t="str"/>
      <x:c r="K3" s="4" t="str"/>
      <x:c r="L3" s="4" t="str"/>
      <x:c r="M3" s="4" t="str">
        <x:v>Prepare tailored email and attach 1-page teaser + deck link.</x:v>
      </x:c>
    </x:row>
    <x:row r="4">
      <x:c r="A4" s="4" t="n">
        <x:v>3</x:v>
      </x:c>
      <x:c r="B4" s="4" t="str">
        <x:v>Bandai Namco Entertainment / 021 Fund</x:v>
      </x:c>
      <x:c r="C4" s="4" t="str">
        <x:v>Japan</x:v>
      </x:c>
      <x:c r="D4" s="4" t="str">
        <x:v>A</x:v>
      </x:c>
      <x:c r="E4" s="4" t="str">
        <x:v>Submit to 021 Fund and parallel-route to mobile publishing BD.</x:v>
      </x:c>
      <x:c r="F4" s="4" t="str"/>
      <x:c r="G4" s="4" t="str">
        <x:v>Not Started</x:v>
      </x:c>
      <x:c r="H4" s="4" t="str"/>
      <x:c r="I4" s="4" t="str"/>
      <x:c r="J4" s="4" t="str"/>
      <x:c r="K4" s="4" t="str"/>
      <x:c r="L4" s="4" t="str"/>
      <x:c r="M4" s="4" t="str">
        <x:v>Prepare tailored email and attach 1-page teaser + deck link.</x:v>
      </x:c>
    </x:row>
    <x:row r="5">
      <x:c r="A5" s="4" t="n">
        <x:v>4</x:v>
      </x:c>
      <x:c r="B5" s="4" t="str">
        <x:v>Com2uS Holdings</x:v>
      </x:c>
      <x:c r="C5" s="4" t="str">
        <x:v>Korea</x:v>
      </x:c>
      <x:c r="D5" s="4" t="str">
        <x:v>A</x:v>
      </x:c>
      <x:c r="E5" s="4" t="str">
        <x:v>Use publishing doorway; ask for evaluation meeting and MG/investment appetite.</x:v>
      </x:c>
      <x:c r="F5" s="4" t="str"/>
      <x:c r="G5" s="4" t="str">
        <x:v>Not Started</x:v>
      </x:c>
      <x:c r="H5" s="4" t="str"/>
      <x:c r="I5" s="4" t="str"/>
      <x:c r="J5" s="4" t="str"/>
      <x:c r="K5" s="4" t="str"/>
      <x:c r="L5" s="4" t="str"/>
      <x:c r="M5" s="4" t="str">
        <x:v>Prepare tailored email and attach 1-page teaser + deck link.</x:v>
      </x:c>
    </x:row>
    <x:row r="6">
      <x:c r="A6" s="4" t="n">
        <x:v>5</x:v>
      </x:c>
      <x:c r="B6" s="4" t="str">
        <x:v>DeNA</x:v>
      </x:c>
      <x:c r="C6" s="4" t="str">
        <x:v>Japan</x:v>
      </x:c>
      <x:c r="D6" s="4" t="str">
        <x:v>A</x:v>
      </x:c>
      <x:c r="E6" s="4" t="str">
        <x:v>Send investor-style teaser first, then game business intro if interest is publishing-led.</x:v>
      </x:c>
      <x:c r="F6" s="4" t="str"/>
      <x:c r="G6" s="4" t="str">
        <x:v>Not Started</x:v>
      </x:c>
      <x:c r="H6" s="4" t="str"/>
      <x:c r="I6" s="4" t="str"/>
      <x:c r="J6" s="4" t="str"/>
      <x:c r="K6" s="4" t="str"/>
      <x:c r="L6" s="4" t="str"/>
      <x:c r="M6" s="4" t="str">
        <x:v>Prepare tailored email and attach 1-page teaser + deck link.</x:v>
      </x:c>
    </x:row>
    <x:row r="7">
      <x:c r="A7" s="4" t="n">
        <x:v>6</x:v>
      </x:c>
      <x:c r="B7" s="4" t="str">
        <x:v>Com2uS</x:v>
      </x:c>
      <x:c r="C7" s="4" t="str">
        <x:v>Korea</x:v>
      </x:c>
      <x:c r="D7" s="4" t="str">
        <x:v>A</x:v>
      </x:c>
      <x:c r="E7" s="4" t="str">
        <x:v>Approach publishing team; include data deck and build link.</x:v>
      </x:c>
      <x:c r="F7" s="4" t="str"/>
      <x:c r="G7" s="4" t="str">
        <x:v>Not Started</x:v>
      </x:c>
      <x:c r="H7" s="4" t="str"/>
      <x:c r="I7" s="4" t="str"/>
      <x:c r="J7" s="4" t="str"/>
      <x:c r="K7" s="4" t="str"/>
      <x:c r="L7" s="4" t="str"/>
      <x:c r="M7" s="4" t="str">
        <x:v>Prepare tailored email and attach 1-page teaser + deck link.</x:v>
      </x:c>
    </x:row>
    <x:row r="8">
      <x:c r="A8" s="4" t="n">
        <x:v>7</x:v>
      </x:c>
      <x:c r="B8" s="4" t="str">
        <x:v>CyberAgent</x:v>
      </x:c>
      <x:c r="C8" s="4" t="str">
        <x:v>Japan</x:v>
      </x:c>
      <x:c r="D8" s="4" t="str">
        <x:v>A</x:v>
      </x:c>
      <x:c r="E8" s="4" t="str">
        <x:v>Route through SGE/Game Business; include concise user-acquisition proof.</x:v>
      </x:c>
      <x:c r="F8" s="4" t="str"/>
      <x:c r="G8" s="4" t="str">
        <x:v>Not Started</x:v>
      </x:c>
      <x:c r="H8" s="4" t="str"/>
      <x:c r="I8" s="4" t="str"/>
      <x:c r="J8" s="4" t="str"/>
      <x:c r="K8" s="4" t="str"/>
      <x:c r="L8" s="4" t="str"/>
      <x:c r="M8" s="4" t="str">
        <x:v>Prepare tailored email and attach 1-page teaser + deck link.</x:v>
      </x:c>
    </x:row>
    <x:row r="9">
      <x:c r="A9" s="4" t="n">
        <x:v>8</x:v>
      </x:c>
      <x:c r="B9" s="4" t="str">
        <x:v>Netmarble</x:v>
      </x:c>
      <x:c r="C9" s="4" t="str">
        <x:v>Korea</x:v>
      </x:c>
      <x:c r="D9" s="4" t="str">
        <x:v>A</x:v>
      </x:c>
      <x:c r="E9" s="4" t="str">
        <x:v>Approach global publishing and corp dev; stress modest MG/investment can unlock US scale.</x:v>
      </x:c>
      <x:c r="F9" s="4" t="str"/>
      <x:c r="G9" s="4" t="str">
        <x:v>Not Started</x:v>
      </x:c>
      <x:c r="H9" s="4" t="str"/>
      <x:c r="I9" s="4" t="str"/>
      <x:c r="J9" s="4" t="str"/>
      <x:c r="K9" s="4" t="str"/>
      <x:c r="L9" s="4" t="str"/>
      <x:c r="M9" s="4" t="str">
        <x:v>Prepare tailored email and attach 1-page teaser + deck link.</x:v>
      </x:c>
    </x:row>
    <x:row r="10">
      <x:c r="A10" s="4" t="n">
        <x:v>9</x:v>
      </x:c>
      <x:c r="B10" s="4" t="str">
        <x:v>GREE Holdings / WFS</x:v>
      </x:c>
      <x:c r="C10" s="4" t="str">
        <x:v>Japan</x:v>
      </x:c>
      <x:c r="D10" s="4" t="str">
        <x:v>A</x:v>
      </x:c>
      <x:c r="E10" s="4" t="str">
        <x:v>Send to WFS/GREE BD; ask whether they prefer publishing, investment, or asset acquisition.</x:v>
      </x:c>
      <x:c r="F10" s="4" t="str"/>
      <x:c r="G10" s="4" t="str">
        <x:v>Not Started</x:v>
      </x:c>
      <x:c r="H10" s="4" t="str"/>
      <x:c r="I10" s="4" t="str"/>
      <x:c r="J10" s="4" t="str"/>
      <x:c r="K10" s="4" t="str"/>
      <x:c r="L10" s="4" t="str"/>
      <x:c r="M10" s="4" t="str">
        <x:v>Prepare tailored email and attach 1-page teaser + deck link.</x:v>
      </x:c>
    </x:row>
    <x:row r="11">
      <x:c r="A11" s="4" t="n">
        <x:v>10</x:v>
      </x:c>
      <x:c r="B11" s="4" t="str">
        <x:v>MIXI</x:v>
      </x:c>
      <x:c r="C11" s="4" t="str">
        <x:v>Japan</x:v>
      </x:c>
      <x:c r="D11" s="4" t="str">
        <x:v>A</x:v>
      </x:c>
      <x:c r="E11" s="4" t="str">
        <x:v>Approach investment first; parallel outreach to digital entertainment BD.</x:v>
      </x:c>
      <x:c r="F11" s="4" t="str"/>
      <x:c r="G11" s="4" t="str">
        <x:v>Not Started</x:v>
      </x:c>
      <x:c r="H11" s="4" t="str"/>
      <x:c r="I11" s="4" t="str"/>
      <x:c r="J11" s="4" t="str"/>
      <x:c r="K11" s="4" t="str"/>
      <x:c r="L11" s="4" t="str"/>
      <x:c r="M11" s="4" t="str">
        <x:v>Prepare tailored email and attach 1-page teaser + deck link.</x:v>
      </x:c>
    </x:row>
    <x:row r="12">
      <x:c r="A12" s="4" t="n">
        <x:v>11</x:v>
      </x:c>
      <x:c r="B12" s="4" t="str">
        <x:v>Smilegate Megaport</x:v>
      </x:c>
      <x:c r="C12" s="4" t="str">
        <x:v>Korea</x:v>
      </x:c>
      <x:c r="D12" s="4" t="str">
        <x:v>A</x:v>
      </x:c>
      <x:c r="E12" s="4" t="str">
        <x:v>Send to Megaport/global publishing; include short KPI benchmark table.</x:v>
      </x:c>
      <x:c r="F12" s="4" t="str"/>
      <x:c r="G12" s="4" t="str">
        <x:v>Not Started</x:v>
      </x:c>
      <x:c r="H12" s="4" t="str"/>
      <x:c r="I12" s="4" t="str"/>
      <x:c r="J12" s="4" t="str"/>
      <x:c r="K12" s="4" t="str"/>
      <x:c r="L12" s="4" t="str"/>
      <x:c r="M12" s="4" t="str">
        <x:v>Prepare tailored email and attach 1-page teaser + deck link.</x:v>
      </x:c>
    </x:row>
    <x:row r="13">
      <x:c r="A13" s="4" t="n">
        <x:v>12</x:v>
      </x:c>
      <x:c r="B13" s="4" t="str">
        <x:v>KLab</x:v>
      </x:c>
      <x:c r="C13" s="4" t="str">
        <x:v>Japan</x:v>
      </x:c>
      <x:c r="D13" s="4" t="str">
        <x:v>A</x:v>
      </x:c>
      <x:c r="E13" s="4" t="str">
        <x:v>Approach BD with KPI teaser and ask for publishing/MG evaluation.</x:v>
      </x:c>
      <x:c r="F13" s="4" t="str"/>
      <x:c r="G13" s="4" t="str">
        <x:v>Not Started</x:v>
      </x:c>
      <x:c r="H13" s="4" t="str"/>
      <x:c r="I13" s="4" t="str"/>
      <x:c r="J13" s="4" t="str"/>
      <x:c r="K13" s="4" t="str"/>
      <x:c r="L13" s="4" t="str"/>
      <x:c r="M13" s="4" t="str">
        <x:v>Prepare tailored email and attach 1-page teaser + deck link.</x:v>
      </x:c>
    </x:row>
    <x:row r="14">
      <x:c r="A14" s="4" t="n">
        <x:v>13</x:v>
      </x:c>
      <x:c r="B14" s="4" t="str">
        <x:v>Kakao Games</x:v>
      </x:c>
      <x:c r="C14" s="4" t="str">
        <x:v>Korea</x:v>
      </x:c>
      <x:c r="D14" s="4" t="str">
        <x:v>A</x:v>
      </x:c>
      <x:c r="E14" s="4" t="str">
        <x:v>Use corporate contact plus LinkedIn; ask for mobile publishing review.</x:v>
      </x:c>
      <x:c r="F14" s="4" t="str"/>
      <x:c r="G14" s="4" t="str">
        <x:v>Not Started</x:v>
      </x:c>
      <x:c r="H14" s="4" t="str"/>
      <x:c r="I14" s="4" t="str"/>
      <x:c r="J14" s="4" t="str"/>
      <x:c r="K14" s="4" t="str"/>
      <x:c r="L14" s="4" t="str"/>
      <x:c r="M14" s="4" t="str">
        <x:v>Prepare tailored email and attach 1-page teaser + deck link.</x:v>
      </x:c>
    </x:row>
    <x:row r="15">
      <x:c r="A15" s="4" t="n">
        <x:v>14</x:v>
      </x:c>
      <x:c r="B15" s="4" t="str">
        <x:v>NEOWIZ</x:v>
      </x:c>
      <x:c r="C15" s="4" t="str">
        <x:v>Korea</x:v>
      </x:c>
      <x:c r="D15" s="4" t="str">
        <x:v>A</x:v>
      </x:c>
      <x:c r="E15" s="4" t="str">
        <x:v>Approach global publishing; frame as portfolio diversification more than core genre match.</x:v>
      </x:c>
      <x:c r="F15" s="4" t="str"/>
      <x:c r="G15" s="4" t="str">
        <x:v>Not Started</x:v>
      </x:c>
      <x:c r="H15" s="4" t="str"/>
      <x:c r="I15" s="4" t="str"/>
      <x:c r="J15" s="4" t="str"/>
      <x:c r="K15" s="4" t="str"/>
      <x:c r="L15" s="4" t="str"/>
      <x:c r="M15" s="4" t="str">
        <x:v>Prepare tailored email and attach 1-page teaser + deck link.</x:v>
      </x:c>
    </x:row>
    <x:row r="16">
      <x:c r="A16" s="4" t="n">
        <x:v>15</x:v>
      </x:c>
      <x:c r="B16" s="4" t="str">
        <x:v>COLOPL</x:v>
      </x:c>
      <x:c r="C16" s="4" t="str">
        <x:v>Japan</x:v>
      </x:c>
      <x:c r="D16" s="4" t="str">
        <x:v>A</x:v>
      </x:c>
      <x:c r="E16" s="4" t="str">
        <x:v>Approach COLOPL NEXT and game business in parallel.</x:v>
      </x:c>
      <x:c r="F16" s="4" t="str"/>
      <x:c r="G16" s="4" t="str">
        <x:v>Not Started</x:v>
      </x:c>
      <x:c r="H16" s="4" t="str"/>
      <x:c r="I16" s="4" t="str"/>
      <x:c r="J16" s="4" t="str"/>
      <x:c r="K16" s="4" t="str"/>
      <x:c r="L16" s="4" t="str"/>
      <x:c r="M16" s="4" t="str">
        <x:v>Prepare tailored email and attach 1-page teaser + deck link.</x:v>
      </x:c>
    </x:row>
    <x:row r="17">
      <x:c r="A17" s="4" t="n">
        <x:v>16</x:v>
      </x:c>
      <x:c r="B17" s="4" t="str">
        <x:v>gumi</x:v>
      </x:c>
      <x:c r="C17" s="4" t="str">
        <x:v>Japan</x:v>
      </x:c>
      <x:c r="D17" s="4" t="str">
        <x:v>A</x:v>
      </x:c>
      <x:c r="E17" s="4" t="str">
        <x:v>Approach corporate/BD; emphasize real CPI/retention proof and flexible deal structure.</x:v>
      </x:c>
      <x:c r="F17" s="4" t="str"/>
      <x:c r="G17" s="4" t="str">
        <x:v>Not Started</x:v>
      </x:c>
      <x:c r="H17" s="4" t="str"/>
      <x:c r="I17" s="4" t="str"/>
      <x:c r="J17" s="4" t="str"/>
      <x:c r="K17" s="4" t="str"/>
      <x:c r="L17" s="4" t="str"/>
      <x:c r="M17" s="4" t="str">
        <x:v>Prepare tailored email and attach 1-page teaser + deck link.</x:v>
      </x:c>
    </x:row>
    <x:row r="18">
      <x:c r="A18" s="4" t="n">
        <x:v>17</x:v>
      </x:c>
      <x:c r="B18" s="4" t="str">
        <x:v>GungHo Online Entertainment</x:v>
      </x:c>
      <x:c r="C18" s="4" t="str">
        <x:v>Japan</x:v>
      </x:c>
      <x:c r="D18" s="4" t="str">
        <x:v>A</x:v>
      </x:c>
      <x:c r="E18" s="4" t="str">
        <x:v>Send polished teaser; ask if mobile publishing or investment team should review.</x:v>
      </x:c>
      <x:c r="F18" s="4" t="str"/>
      <x:c r="G18" s="4" t="str">
        <x:v>Not Started</x:v>
      </x:c>
      <x:c r="H18" s="4" t="str"/>
      <x:c r="I18" s="4" t="str"/>
      <x:c r="J18" s="4" t="str"/>
      <x:c r="K18" s="4" t="str"/>
      <x:c r="L18" s="4" t="str"/>
      <x:c r="M18" s="4" t="str">
        <x:v>Prepare tailored email and attach 1-page teaser + deck link.</x:v>
      </x:c>
    </x:row>
    <x:row r="19">
      <x:c r="A19" s="4" t="n">
        <x:v>18</x:v>
      </x:c>
      <x:c r="B19" s="4" t="str">
        <x:v>Supercent</x:v>
      </x:c>
      <x:c r="C19" s="4" t="str">
        <x:v>Korea</x:v>
      </x:c>
      <x:c r="D19" s="4" t="str">
        <x:v>A</x:v>
      </x:c>
      <x:c r="E19" s="4" t="str">
        <x:v>Submit through publisher intake; suited for rapid test feedback.</x:v>
      </x:c>
      <x:c r="F19" s="4" t="str"/>
      <x:c r="G19" s="4" t="str">
        <x:v>Not Started</x:v>
      </x:c>
      <x:c r="H19" s="4" t="str"/>
      <x:c r="I19" s="4" t="str"/>
      <x:c r="J19" s="4" t="str"/>
      <x:c r="K19" s="4" t="str"/>
      <x:c r="L19" s="4" t="str"/>
      <x:c r="M19" s="4" t="str">
        <x:v>Prepare tailored email and attach 1-page teaser + deck link.</x:v>
      </x:c>
    </x:row>
    <x:row r="20">
      <x:c r="A20" s="4" t="n">
        <x:v>19</x:v>
      </x:c>
      <x:c r="B20" s="4" t="str">
        <x:v>111Percent</x:v>
      </x:c>
      <x:c r="C20" s="4" t="str">
        <x:v>Korea</x:v>
      </x:c>
      <x:c r="D20" s="4" t="str">
        <x:v>A</x:v>
      </x:c>
      <x:c r="E20" s="4" t="str">
        <x:v>Route to Supercent/111% BD; use data-first opener.</x:v>
      </x:c>
      <x:c r="F20" s="4" t="str"/>
      <x:c r="G20" s="4" t="str">
        <x:v>Not Started</x:v>
      </x:c>
      <x:c r="H20" s="4" t="str"/>
      <x:c r="I20" s="4" t="str"/>
      <x:c r="J20" s="4" t="str"/>
      <x:c r="K20" s="4" t="str"/>
      <x:c r="L20" s="4" t="str"/>
      <x:c r="M20" s="4" t="str">
        <x:v>Prepare tailored email and attach 1-page teaser + deck link.</x:v>
      </x:c>
    </x:row>
    <x:row r="21">
      <x:c r="A21" s="4" t="n">
        <x:v>20</x:v>
      </x:c>
      <x:c r="B21" s="4" t="str">
        <x:v>KADOKAWA</x:v>
      </x:c>
      <x:c r="C21" s="4" t="str">
        <x:v>Japan</x:v>
      </x:c>
      <x:c r="D21" s="4" t="str">
        <x:v>A</x:v>
      </x:c>
      <x:c r="E21" s="4" t="str">
        <x:v>Use IP-led teaser; ask for game investment/alliance route.</x:v>
      </x:c>
      <x:c r="F21" s="4" t="str"/>
      <x:c r="G21" s="4" t="str">
        <x:v>Not Started</x:v>
      </x:c>
      <x:c r="H21" s="4" t="str"/>
      <x:c r="I21" s="4" t="str"/>
      <x:c r="J21" s="4" t="str"/>
      <x:c r="K21" s="4" t="str"/>
      <x:c r="L21" s="4" t="str"/>
      <x:c r="M21" s="4" t="str">
        <x:v>Prepare tailored email and attach 1-page teaser + deck link.</x:v>
      </x:c>
    </x:row>
    <x:row r="22">
      <x:c r="A22" s="4" t="n">
        <x:v>21</x:v>
      </x:c>
      <x:c r="B22" s="4" t="str">
        <x:v>Square Enix</x:v>
      </x:c>
      <x:c r="C22" s="4" t="str">
        <x:v>Japan</x:v>
      </x:c>
      <x:c r="D22" s="4" t="str">
        <x:v>B</x:v>
      </x:c>
      <x:c r="E22" s="4" t="str">
        <x:v>Send only after adding strong product video and content roadmap.</x:v>
      </x:c>
      <x:c r="F22" s="4" t="str"/>
      <x:c r="G22" s="4" t="str">
        <x:v>Not Started</x:v>
      </x:c>
      <x:c r="H22" s="4" t="str"/>
      <x:c r="I22" s="4" t="str"/>
      <x:c r="J22" s="4" t="str"/>
      <x:c r="K22" s="4" t="str"/>
      <x:c r="L22" s="4" t="str"/>
      <x:c r="M22" s="4" t="str">
        <x:v>Batch send after A-tier learning.</x:v>
      </x:c>
    </x:row>
    <x:row r="23">
      <x:c r="A23" s="4" t="n">
        <x:v>22</x:v>
      </x:c>
      <x:c r="B23" s="4" t="str">
        <x:v>Cygames</x:v>
      </x:c>
      <x:c r="C23" s="4" t="str">
        <x:v>Japan</x:v>
      </x:c>
      <x:c r="D23" s="4" t="str">
        <x:v>B</x:v>
      </x:c>
      <x:c r="E23" s="4" t="str">
        <x:v>If no direct route, approach CyberAgent SGE first.</x:v>
      </x:c>
      <x:c r="F23" s="4" t="str"/>
      <x:c r="G23" s="4" t="str">
        <x:v>Not Started</x:v>
      </x:c>
      <x:c r="H23" s="4" t="str"/>
      <x:c r="I23" s="4" t="str"/>
      <x:c r="J23" s="4" t="str"/>
      <x:c r="K23" s="4" t="str"/>
      <x:c r="L23" s="4" t="str"/>
      <x:c r="M23" s="4" t="str">
        <x:v>Batch send after A-tier learning.</x:v>
      </x:c>
    </x:row>
    <x:row r="24">
      <x:c r="A24" s="4" t="n">
        <x:v>23</x:v>
      </x:c>
      <x:c r="B24" s="4" t="str">
        <x:v>Konami Digital Entertainment</x:v>
      </x:c>
      <x:c r="C24" s="4" t="str">
        <x:v>Japan</x:v>
      </x:c>
      <x:c r="D24" s="4" t="str">
        <x:v>B</x:v>
      </x:c>
      <x:c r="E24" s="4" t="str">
        <x:v>Approach as opportunistic B/A borderline; keep email concise.</x:v>
      </x:c>
      <x:c r="F24" s="4" t="str"/>
      <x:c r="G24" s="4" t="str">
        <x:v>Not Started</x:v>
      </x:c>
      <x:c r="H24" s="4" t="str"/>
      <x:c r="I24" s="4" t="str"/>
      <x:c r="J24" s="4" t="str"/>
      <x:c r="K24" s="4" t="str"/>
      <x:c r="L24" s="4" t="str"/>
      <x:c r="M24" s="4" t="str">
        <x:v>Batch send after A-tier learning.</x:v>
      </x:c>
    </x:row>
    <x:row r="25">
      <x:c r="A25" s="4" t="n">
        <x:v>24</x:v>
      </x:c>
      <x:c r="B25" s="4" t="str">
        <x:v>Akatsuki Games</x:v>
      </x:c>
      <x:c r="C25" s="4" t="str">
        <x:v>Japan</x:v>
      </x:c>
      <x:c r="D25" s="4" t="str">
        <x:v>B</x:v>
      </x:c>
      <x:c r="E25" s="4" t="str">
        <x:v>Approach via group contact; keep acquisition ask secondary.</x:v>
      </x:c>
      <x:c r="F25" s="4" t="str"/>
      <x:c r="G25" s="4" t="str">
        <x:v>Not Started</x:v>
      </x:c>
      <x:c r="H25" s="4" t="str"/>
      <x:c r="I25" s="4" t="str"/>
      <x:c r="J25" s="4" t="str"/>
      <x:c r="K25" s="4" t="str"/>
      <x:c r="L25" s="4" t="str"/>
      <x:c r="M25" s="4" t="str">
        <x:v>Batch send after A-tier learning.</x:v>
      </x:c>
    </x:row>
    <x:row r="26">
      <x:c r="A26" s="4" t="n">
        <x:v>25</x:v>
      </x:c>
      <x:c r="B26" s="4" t="str">
        <x:v>Drecom</x:v>
      </x:c>
      <x:c r="C26" s="4" t="str">
        <x:v>Japan</x:v>
      </x:c>
      <x:c r="D26" s="4" t="str">
        <x:v>B</x:v>
      </x:c>
      <x:c r="E26" s="4" t="str">
        <x:v>Approach BD with teaser; ask whether publishing or investment review is appropriate.</x:v>
      </x:c>
      <x:c r="F26" s="4" t="str"/>
      <x:c r="G26" s="4" t="str">
        <x:v>Not Started</x:v>
      </x:c>
      <x:c r="H26" s="4" t="str"/>
      <x:c r="I26" s="4" t="str"/>
      <x:c r="J26" s="4" t="str"/>
      <x:c r="K26" s="4" t="str"/>
      <x:c r="L26" s="4" t="str"/>
      <x:c r="M26" s="4" t="str">
        <x:v>Batch send after A-tier learning.</x:v>
      </x:c>
    </x:row>
    <x:row r="27">
      <x:c r="A27" s="4" t="n">
        <x:v>26</x:v>
      </x:c>
      <x:c r="B27" s="4" t="str">
        <x:v>SEGA</x:v>
      </x:c>
      <x:c r="C27" s="4" t="str">
        <x:v>Japan</x:v>
      </x:c>
      <x:c r="D27" s="4" t="str">
        <x:v>B</x:v>
      </x:c>
      <x:c r="E27" s="4" t="str">
        <x:v>Treat as B-tier unless warm intro exists.</x:v>
      </x:c>
      <x:c r="F27" s="4" t="str"/>
      <x:c r="G27" s="4" t="str">
        <x:v>Not Started</x:v>
      </x:c>
      <x:c r="H27" s="4" t="str"/>
      <x:c r="I27" s="4" t="str"/>
      <x:c r="J27" s="4" t="str"/>
      <x:c r="K27" s="4" t="str"/>
      <x:c r="L27" s="4" t="str"/>
      <x:c r="M27" s="4" t="str">
        <x:v>Batch send after A-tier learning.</x:v>
      </x:c>
    </x:row>
    <x:row r="28">
      <x:c r="A28" s="4" t="n">
        <x:v>27</x:v>
      </x:c>
      <x:c r="B28" s="4" t="str">
        <x:v>Marvelous</x:v>
      </x:c>
      <x:c r="C28" s="4" t="str">
        <x:v>Japan</x:v>
      </x:c>
      <x:c r="D28" s="4" t="str">
        <x:v>B</x:v>
      </x:c>
      <x:c r="E28" s="4" t="str">
        <x:v>Use cozy/farming similarity angle; send gameplay-first email.</x:v>
      </x:c>
      <x:c r="F28" s="4" t="str"/>
      <x:c r="G28" s="4" t="str">
        <x:v>Not Started</x:v>
      </x:c>
      <x:c r="H28" s="4" t="str"/>
      <x:c r="I28" s="4" t="str"/>
      <x:c r="J28" s="4" t="str"/>
      <x:c r="K28" s="4" t="str"/>
      <x:c r="L28" s="4" t="str"/>
      <x:c r="M28" s="4" t="str">
        <x:v>Batch send after A-tier learning.</x:v>
      </x:c>
    </x:row>
    <x:row r="29">
      <x:c r="A29" s="4" t="n">
        <x:v>28</x:v>
      </x:c>
      <x:c r="B29" s="4" t="str">
        <x:v>CookApps</x:v>
      </x:c>
      <x:c r="C29" s="4" t="str">
        <x:v>Korea</x:v>
      </x:c>
      <x:c r="D29" s="4" t="str">
        <x:v>B</x:v>
      </x:c>
      <x:c r="E29" s="4" t="str">
        <x:v>B wave; lead with Family Island/merge-sim metrics.</x:v>
      </x:c>
      <x:c r="F29" s="4" t="str"/>
      <x:c r="G29" s="4" t="str">
        <x:v>Not Started</x:v>
      </x:c>
      <x:c r="H29" s="4" t="str"/>
      <x:c r="I29" s="4" t="str"/>
      <x:c r="J29" s="4" t="str"/>
      <x:c r="K29" s="4" t="str"/>
      <x:c r="L29" s="4" t="str"/>
      <x:c r="M29" s="4" t="str">
        <x:v>Batch send after A-tier learning.</x:v>
      </x:c>
    </x:row>
    <x:row r="30">
      <x:c r="A30" s="4" t="n">
        <x:v>29</x:v>
      </x:c>
      <x:c r="B30" s="4" t="str">
        <x:v>HAEGIN</x:v>
      </x:c>
      <x:c r="C30" s="4" t="str">
        <x:v>Korea</x:v>
      </x:c>
      <x:c r="D30" s="4" t="str">
        <x:v>B</x:v>
      </x:c>
      <x:c r="E30" s="4" t="str">
        <x:v>B wave; lead with genre/audience overlap and US metrics.</x:v>
      </x:c>
      <x:c r="F30" s="4" t="str"/>
      <x:c r="G30" s="4" t="str">
        <x:v>Not Started</x:v>
      </x:c>
      <x:c r="H30" s="4" t="str"/>
      <x:c r="I30" s="4" t="str"/>
      <x:c r="J30" s="4" t="str"/>
      <x:c r="K30" s="4" t="str"/>
      <x:c r="L30" s="4" t="str"/>
      <x:c r="M30" s="4" t="str">
        <x:v>Batch send after A-tier learning.</x:v>
      </x:c>
    </x:row>
    <x:row r="31">
      <x:c r="A31" s="4" t="n">
        <x:v>30</x:v>
      </x:c>
      <x:c r="B31" s="4" t="str">
        <x:v>Nexon Korea / Nexon</x:v>
      </x:c>
      <x:c r="C31" s="4" t="str">
        <x:v>Korea</x:v>
      </x:c>
      <x:c r="D31" s="4" t="str">
        <x:v>B</x:v>
      </x:c>
      <x:c r="E31" s="4" t="str">
        <x:v>Approach only with warm intro or after stronger casual-first buyers.</x:v>
      </x:c>
      <x:c r="F31" s="4" t="str"/>
      <x:c r="G31" s="4" t="str">
        <x:v>Not Started</x:v>
      </x:c>
      <x:c r="H31" s="4" t="str"/>
      <x:c r="I31" s="4" t="str"/>
      <x:c r="J31" s="4" t="str"/>
      <x:c r="K31" s="4" t="str"/>
      <x:c r="L31" s="4" t="str"/>
      <x:c r="M31" s="4" t="str">
        <x:v>Batch send after A-tier learning.</x:v>
      </x:c>
    </x:row>
  </x:sheetData>
  <x:dataValidations count="1">
    <x:dataValidation type="list" sqref="G2:G31">
      <x:formula1>"Not Started,Sent,Replied,NDA,Meeting Booked,Passed,Follow-up"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36f010631d49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0" hidden="0" customWidth="1"/>
    <x:col min="3" max="3" width="21.110000610351562" hidden="0" customWidth="1"/>
    <x:col min="4" max="4" width="28.889999389648438" hidden="0" customWidth="1"/>
    <x:col min="5" max="5" width="84.44000244140625" hidden="0" customWidth="1"/>
  </x:cols>
  <x:sheetData>
    <x:row r="1">
      <x:c r="A1" s="20" t="str">
        <x:v>Template</x:v>
      </x:c>
      <x:c r="B1" s="20" t="str">
        <x:v>Language</x:v>
      </x:c>
      <x:c r="C1" s="20" t="str">
        <x:v>Use Case</x:v>
      </x:c>
      <x:c r="D1" s="20" t="str">
        <x:v>Subject / Hook</x:v>
      </x:c>
      <x:c r="E1" s="20" t="str">
        <x:v>Body</x:v>
      </x:c>
    </x:row>
    <x:row r="2">
      <x:c r="A2" s="4" t="str">
        <x:v>Initial Email</x:v>
      </x:c>
      <x:c r="B2" s="4" t="str">
        <x:v>English</x:v>
      </x:c>
      <x:c r="C2" s="4" t="str">
        <x:v>BD / publishing / investment first touch</x:v>
      </x:c>
      <x:c r="D2" s="4" t="str">
        <x:v>US-tested casual adventure/simulation game - publishing or strategic partnership fit?</x:v>
      </x:c>
      <x:c r="E2" s="4" t="str">
        <x:v>Hi [Name],
I'm [Your Name] from [StudioLegalName]. We are building [GameName], a mobile casual adventure/simulation game in the Family Island neighborhood, and we have completed several US market tests with encouraging CPI and retention signals.
We are now speaking with a small number of Japanese and Korean publishers/investors that can help us scale, invest, acquire the project/team, or structure a publishing/MG partnership. Based on [Company]'s work in [relevant portfolio / casual / mobile / global publishing], I thought this may be worth a short conversation.
Happy to share a compact deck, gameplay video, and KPI summary covering CPI, D1/D7/D30, test spend, creative learnings, monetization assumptions, and roadmap.
Would you be open to a 30-minute intro call next week?
Best,
[Signature]</x:v>
      </x:c>
    </x:row>
    <x:row r="3">
      <x:c r="A3" s="4" t="str">
        <x:v>Initial Email</x:v>
      </x:c>
      <x:c r="B3" s="4" t="str">
        <x:v>Japanese</x:v>
      </x:c>
      <x:c r="C3" s="4" t="str">
        <x:v>Japan localized first touch</x:v>
      </x:c>
      <x:c r="D3" s="4" t="str">
        <x:v>米国テスト済みのカジュアルアドベンチャー/シミュレーションゲームについて</x:v>
      </x:c>
      <x:c r="E3" s="4" t="str">
        <x:v>[Name] 様
突然のご連絡失礼いたします。[StudioLegalName] の [Your Name] と申します。
弊社では、Family Island に近いプレイ感を持つモバイル向けカジュアルアドベンチャー/シミュレーションゲーム [GameName] を開発しており、米国市場で複数回のテスト配信を実施しました。CPI とリテンションについて、前向きなシグナルを確認できています。
現在、日本・韓国のパブリッシャー/投資家の皆さまと、パブリッシング、MG、戦略投資、または買収を含む可能性についてお話ししています。[Company] の [relevant reason] を拝見し、相性があるのではないかと考えご連絡しました。
ご関心があれば、デッキ、ゲームプレイ動画、CPI/D1/D7/D30、テスト規模、クリエイティブ検証、収益化仮説、ロードマップをまとめた資料を共有できます。
来週、30分ほどご紹介のお時間をいただくことは可能でしょうか。
よろしくお願いいたします。
[Signature]</x:v>
      </x:c>
    </x:row>
    <x:row r="4">
      <x:c r="A4" s="4" t="str">
        <x:v>Initial Email</x:v>
      </x:c>
      <x:c r="B4" s="4" t="str">
        <x:v>Korean</x:v>
      </x:c>
      <x:c r="C4" s="4" t="str">
        <x:v>Korea localized first touch</x:v>
      </x:c>
      <x:c r="D4" s="4" t="str">
        <x:v>미국 테스트를 완료한 캐주얼 어드벤처/시뮬레이션 게임 제안</x:v>
      </x:c>
      <x:c r="E4" s="4" t="str">
        <x:v>[Name]님 안녕하세요.
[StudioLegalName]의 [Your Name]입니다. 저희는 Family Island와 유사한 방향의 모바일 캐주얼 어드벤처/시뮬레이션 게임 [GameName]을 개발하고 있으며, 미국 시장에서 여러 차례 테스트 집행을 통해 CPI와 리텐션에서 긍정적인 신호를 확인했습니다.
현재 일본과 한국의 퍼블리셔/전략적 투자자와 퍼블리싱, MG, 전략 투자, 프로젝트/팀 인수 가능성을 논의하고 있습니다. [Company]의 [relevant portfolio / mobile publishing / investment activity]를 보고 좋은 핏이 있을 수 있다고 생각했습니다.
관심이 있으시면 게임플레이 영상, 데크, CPI/D1/D7/D30, 테스트 집행 규모, 크리에이티브 러닝, 수익화 가정, 로드맵을 요약해서 공유드릴 수 있습니다.
다음 주에 30분 정도 소개 미팅이 가능하실까요?
감사합니다.
[Signature]</x:v>
      </x:c>
    </x:row>
    <x:row r="5">
      <x:c r="A5" s="4" t="str">
        <x:v>LinkedIn</x:v>
      </x:c>
      <x:c r="B5" s="4" t="str">
        <x:v>English</x:v>
      </x:c>
      <x:c r="C5" s="4" t="str">
        <x:v>Short connection note</x:v>
      </x:c>
      <x:c r="D5" s="4" t="str">
        <x:v>Short hook</x:v>
      </x:c>
      <x:c r="E5" s="4" t="str">
        <x:v>Hi [Name], I'm reaching out from [Studio]. We have a US-tested mobile casual adventure/simulation game similar to Family Island and are exploring publishing/MG, strategic investment, or acquisition conversations with selected JP/KR partners. Would love to send a 1-page teaser if relevant.</x:v>
      </x:c>
    </x:row>
    <x:row r="6">
      <x:c r="A6" s="4" t="str">
        <x:v>Follow-up 1</x:v>
      </x:c>
      <x:c r="B6" s="4" t="str">
        <x:v>English</x:v>
      </x:c>
      <x:c r="C6" s="4" t="str">
        <x:v>3-4 business days after initial email</x:v>
      </x:c>
      <x:c r="D6" s="4" t="str">
        <x:v>Re: US-tested casual adventure/simulation game</x:v>
      </x:c>
      <x:c r="E6" s="4" t="str">
        <x:v>Hi [Name], quick follow-up in case this is relevant for [Company]'s mobile publishing or investment team.
The short version: [GameName] has completed US market tests with encouraging CPI/retention signals, and we are looking for a partner who can help scale or discuss investment/acquisition options. I can send a 1-page teaser first if easier.
Would [alternate contact/team] be the right person to review?</x:v>
      </x:c>
    </x:row>
    <x:row r="7">
      <x:c r="A7" s="4" t="str">
        <x:v>Follow-up 2</x:v>
      </x:c>
      <x:c r="B7" s="4" t="str">
        <x:v>English</x:v>
      </x:c>
      <x:c r="C7" s="4" t="str">
        <x:v>7-10 days after follow-up 1</x:v>
      </x:c>
      <x:c r="D7" s="4" t="str">
        <x:v>Should I route this to your publishing or investment team?</x:v>
      </x:c>
      <x:c r="E7" s="4" t="str">
        <x:v>Hi [Name], I don't want to clutter your inbox. For [Company], would this be better routed to publishing/BD, corporate development, or investment?
We can share the deck and KPI summary under a simple NDA if needed. The opportunity is flexible: publishing/MG, strategic investment, or acquisition discussion.</x:v>
      </x:c>
    </x:row>
    <x:row r="8">
      <x:c r="A8" s="4" t="str">
        <x:v>Follow-up 3</x:v>
      </x:c>
      <x:c r="B8" s="4" t="str">
        <x:v>English</x:v>
      </x:c>
      <x:c r="C8" s="4" t="str">
        <x:v>Final break-up</x:v>
      </x:c>
      <x:c r="D8" s="4" t="str">
        <x:v>Closing the loop</x:v>
      </x:c>
      <x:c r="E8" s="4" t="str">
        <x:v>Hi [Name], closing the loop for now. If [Company] is currently reviewing external mobile casual titles or strategic investments, I would be happy to reconnect and send the KPI teaser.
Thanks for considering it.</x:v>
      </x:c>
    </x:row>
    <x:row r="9">
      <x:c r="A9" s="4" t="str">
        <x:v>Data Room Checklist</x:v>
      </x:c>
      <x:c r="B9" s="4" t="str">
        <x:v>English</x:v>
      </x:c>
      <x:c r="C9" s="4" t="str">
        <x:v>Prepare before reply calls</x:v>
      </x:c>
      <x:c r="D9" s="4" t="str">
        <x:v>Materials to attach after interest</x:v>
      </x:c>
      <x:c r="E9" s="4" t="str">
        <x:v>1-page teaser; full deck; 2-minute gameplay video; CPI/D1/D7/D30 by cohort; spend by channel/creative; retention curve; monetization assumptions; roadmap; team bios; cap table/high-level ownership; desired deal structures; APK/TestFlight/build link; NDA template.</x:v>
      </x:c>
    </x:row>
  </x:sheetData>
  <x:pageMargins left="0.7" right="0.7" top="0.75" bottom="0.75" header="0.3" footer="0.3"/>
  <x:tableParts count="1">
    <x:tablePart xmlns:r="http://schemas.openxmlformats.org/officeDocument/2006/relationships" r:id="R71f018ae6f9b45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26.670000076293945" hidden="0" customWidth="1"/>
    <x:col min="3" max="3" width="10" hidden="0" customWidth="1"/>
    <x:col min="4" max="4" width="57.779998779296875" hidden="0" customWidth="1"/>
  </x:cols>
  <x:sheetData>
    <x:row r="1">
      <x:c r="A1" s="22" t="str">
        <x:v>Source ID</x:v>
      </x:c>
      <x:c r="B1" s="22" t="str">
        <x:v>Company</x:v>
      </x:c>
      <x:c r="C1" s="22" t="str">
        <x:v>Source Role</x:v>
      </x:c>
      <x:c r="D1" s="22" t="str">
        <x:v>URL</x:v>
      </x:c>
    </x:row>
    <x:row r="2">
      <x:c r="A2" s="4" t="str">
        <x:v>SRC-001</x:v>
      </x:c>
      <x:c r="B2" s="4" t="str">
        <x:v>NCSOFT / NC</x:v>
      </x:c>
      <x:c r="C2" s="4" t="str">
        <x:v>S1</x:v>
      </x:c>
      <x:c r="D2" s="4" t="str">
        <x:v>https://about.ncsoft.com/en/news/article/news_update_260312</x:v>
      </x:c>
    </x:row>
    <x:row r="3">
      <x:c r="A3" s="4" t="str">
        <x:v>SRC-002</x:v>
      </x:c>
      <x:c r="B3" s="4" t="str">
        <x:v>NCSOFT / NC</x:v>
      </x:c>
      <x:c r="C3" s="4" t="str">
        <x:v>S2</x:v>
      </x:c>
      <x:c r="D3" s="4" t="str">
        <x:v>https://about.ncsoft.com/en/news/article/news_update_251222</x:v>
      </x:c>
    </x:row>
    <x:row r="4">
      <x:c r="A4" s="4" t="str">
        <x:v>SRC-003</x:v>
      </x:c>
      <x:c r="B4" s="4" t="str">
        <x:v>NCSOFT / NC</x:v>
      </x:c>
      <x:c r="C4" s="4" t="str">
        <x:v>S3</x:v>
      </x:c>
      <x:c r="D4" s="4" t="str">
        <x:v>https://about.ncsoft.com/en/news/article/news_update_260311</x:v>
      </x:c>
    </x:row>
    <x:row r="5">
      <x:c r="A5" s="4" t="str">
        <x:v>SRC-004</x:v>
      </x:c>
      <x:c r="B5" s="4" t="str">
        <x:v>KRAFTON</x:v>
      </x:c>
      <x:c r="C5" s="4" t="str">
        <x:v>S1</x:v>
      </x:c>
      <x:c r="D5" s="4" t="str">
        <x:v>https://krafton.com/en/news/press/krafton-achieve-record-high-revenue-in-the-first-half-of-2025/</x:v>
      </x:c>
    </x:row>
    <x:row r="6">
      <x:c r="A6" s="4" t="str">
        <x:v>SRC-005</x:v>
      </x:c>
      <x:c r="B6" s="4" t="str">
        <x:v>KRAFTON</x:v>
      </x:c>
      <x:c r="C6" s="4" t="str">
        <x:v>S2</x:v>
      </x:c>
      <x:c r="D6" s="4" t="str">
        <x:v>https://www.krafton.com/en/news/press/krafton-acquires-eleventh-hour-games-creators-of-last-epoch/</x:v>
      </x:c>
    </x:row>
    <x:row r="7">
      <x:c r="A7" s="4" t="str">
        <x:v>SRC-006</x:v>
      </x:c>
      <x:c r="B7" s="4" t="str">
        <x:v>KRAFTON</x:v>
      </x:c>
      <x:c r="C7" s="4" t="str">
        <x:v>S3</x:v>
      </x:c>
      <x:c r="D7" s="4" t="str">
        <x:v>https://www.krafton.com/en/ir/</x:v>
      </x:c>
    </x:row>
    <x:row r="8">
      <x:c r="A8" s="4" t="str">
        <x:v>SRC-007</x:v>
      </x:c>
      <x:c r="B8" s="4" t="str">
        <x:v>Bandai Namco Entertainment / 021 Fund</x:v>
      </x:c>
      <x:c r="C8" s="4" t="str">
        <x:v>S1</x:v>
      </x:c>
      <x:c r="D8" s="4" t="str">
        <x:v>https://www.bandainamcoent.co.jp/pdfs/HP_20250611.pdf</x:v>
      </x:c>
    </x:row>
    <x:row r="9">
      <x:c r="A9" s="4" t="str">
        <x:v>SRC-008</x:v>
      </x:c>
      <x:c r="B9" s="4" t="str">
        <x:v>Bandai Namco Entertainment / 021 Fund</x:v>
      </x:c>
      <x:c r="C9" s="4" t="str">
        <x:v>S2</x:v>
      </x:c>
      <x:c r="D9" s="4" t="str">
        <x:v>https://021fund.bn-ent.net/en/</x:v>
      </x:c>
    </x:row>
    <x:row r="10">
      <x:c r="A10" s="4" t="str">
        <x:v>SRC-009</x:v>
      </x:c>
      <x:c r="B10" s="4" t="str">
        <x:v>Bandai Namco Entertainment / 021 Fund</x:v>
      </x:c>
      <x:c r="C10" s="4" t="str">
        <x:v>S3</x:v>
      </x:c>
      <x:c r="D10" s="4" t="str">
        <x:v>https://www.bandainamcoent.co.jp/english/</x:v>
      </x:c>
    </x:row>
    <x:row r="11">
      <x:c r="A11" s="4" t="str">
        <x:v>SRC-010</x:v>
      </x:c>
      <x:c r="B11" s="4" t="str">
        <x:v>Com2uS Holdings</x:v>
      </x:c>
      <x:c r="C11" s="4" t="str">
        <x:v>S1</x:v>
      </x:c>
      <x:c r="D11" s="4" t="str">
        <x:v>https://global.com2us.com/holdings/company/publishing</x:v>
      </x:c>
    </x:row>
    <x:row r="12">
      <x:c r="A12" s="4" t="str">
        <x:v>SRC-011</x:v>
      </x:c>
      <x:c r="B12" s="4" t="str">
        <x:v>Com2uS Holdings</x:v>
      </x:c>
      <x:c r="C12" s="4" t="str">
        <x:v>S2</x:v>
      </x:c>
      <x:c r="D12" s="4" t="str">
        <x:v>https://holdings.com2us.com/en/about/game-business</x:v>
      </x:c>
    </x:row>
    <x:row r="13">
      <x:c r="A13" s="4" t="str">
        <x:v>SRC-012</x:v>
      </x:c>
      <x:c r="B13" s="4" t="str">
        <x:v>Com2uS Holdings</x:v>
      </x:c>
      <x:c r="C13" s="4" t="str">
        <x:v>S3</x:v>
      </x:c>
      <x:c r="D13" s="4" t="str">
        <x:v>https://holdings.com2us.com/en/ir</x:v>
      </x:c>
    </x:row>
    <x:row r="14">
      <x:c r="A14" s="4" t="str">
        <x:v>SRC-013</x:v>
      </x:c>
      <x:c r="B14" s="4" t="str">
        <x:v>DeNA</x:v>
      </x:c>
      <x:c r="C14" s="4" t="str">
        <x:v>S1</x:v>
      </x:c>
      <x:c r="D14" s="4" t="str">
        <x:v>https://dena.com/intl/services/invest.html</x:v>
      </x:c>
    </x:row>
    <x:row r="15">
      <x:c r="A15" s="4" t="str">
        <x:v>SRC-014</x:v>
      </x:c>
      <x:c r="B15" s="4" t="str">
        <x:v>DeNA</x:v>
      </x:c>
      <x:c r="C15" s="4" t="str">
        <x:v>S2</x:v>
      </x:c>
      <x:c r="D15" s="4" t="str">
        <x:v>https://dena.com/intl/services/</x:v>
      </x:c>
    </x:row>
    <x:row r="16">
      <x:c r="A16" s="4" t="str">
        <x:v>SRC-015</x:v>
      </x:c>
      <x:c r="B16" s="4" t="str">
        <x:v>DeNA</x:v>
      </x:c>
      <x:c r="C16" s="4" t="str">
        <x:v>S3</x:v>
      </x:c>
      <x:c r="D16" s="4" t="str">
        <x:v>https://dena.com/intl/company/overview.html</x:v>
      </x:c>
    </x:row>
    <x:row r="17">
      <x:c r="A17" s="4" t="str">
        <x:v>SRC-016</x:v>
      </x:c>
      <x:c r="B17" s="4" t="str">
        <x:v>Com2uS</x:v>
      </x:c>
      <x:c r="C17" s="4" t="str">
        <x:v>S1</x:v>
      </x:c>
      <x:c r="D17" s="4" t="str">
        <x:v>https://global.com2us.com/</x:v>
      </x:c>
    </x:row>
    <x:row r="18">
      <x:c r="A18" s="4" t="str">
        <x:v>SRC-017</x:v>
      </x:c>
      <x:c r="B18" s="4" t="str">
        <x:v>Com2uS</x:v>
      </x:c>
      <x:c r="C18" s="4" t="str">
        <x:v>S2</x:v>
      </x:c>
      <x:c r="D18" s="4" t="str">
        <x:v>https://www.com2us.com/file/download/2346</x:v>
      </x:c>
    </x:row>
    <x:row r="19">
      <x:c r="A19" s="4" t="str">
        <x:v>SRC-018</x:v>
      </x:c>
      <x:c r="B19" s="4" t="str">
        <x:v>Com2uS</x:v>
      </x:c>
      <x:c r="C19" s="4" t="str">
        <x:v>S3</x:v>
      </x:c>
      <x:c r="D19" s="4" t="str">
        <x:v>https://store.steampowered.com/publisher/Com2uS</x:v>
      </x:c>
    </x:row>
    <x:row r="20">
      <x:c r="A20" s="4" t="str">
        <x:v>SRC-019</x:v>
      </x:c>
      <x:c r="B20" s="4" t="str">
        <x:v>CyberAgent</x:v>
      </x:c>
      <x:c r="C20" s="4" t="str">
        <x:v>S1</x:v>
      </x:c>
      <x:c r="D20" s="4" t="str">
        <x:v>https://report.cyberagent.co.jp/en/game/</x:v>
      </x:c>
    </x:row>
    <x:row r="21">
      <x:c r="A21" s="4" t="str">
        <x:v>SRC-020</x:v>
      </x:c>
      <x:c r="B21" s="4" t="str">
        <x:v>CyberAgent</x:v>
      </x:c>
      <x:c r="C21" s="4" t="str">
        <x:v>S2</x:v>
      </x:c>
      <x:c r="D21" s="4" t="str">
        <x:v>https://www.cyberagent.co.jp/en/news/detail/id=32862</x:v>
      </x:c>
    </x:row>
    <x:row r="22">
      <x:c r="A22" s="4" t="str">
        <x:v>SRC-021</x:v>
      </x:c>
      <x:c r="B22" s="4" t="str">
        <x:v>CyberAgent</x:v>
      </x:c>
      <x:c r="C22" s="4" t="str">
        <x:v>S3</x:v>
      </x:c>
      <x:c r="D22" s="4" t="str">
        <x:v>https://www.cyberagent.co.jp/en/ir/</x:v>
      </x:c>
    </x:row>
    <x:row r="23">
      <x:c r="A23" s="4" t="str">
        <x:v>SRC-022</x:v>
      </x:c>
      <x:c r="B23" s="4" t="str">
        <x:v>Netmarble</x:v>
      </x:c>
      <x:c r="C23" s="4" t="str">
        <x:v>S1</x:v>
      </x:c>
      <x:c r="D23" s="4" t="str">
        <x:v>https://ch.netmarble.com/Eng/Newsroom/Detail?bbs_code=1020&amp;post_seq=6475&amp;post_tag=NETMARBLE</x:v>
      </x:c>
    </x:row>
    <x:row r="24">
      <x:c r="A24" s="4" t="str">
        <x:v>SRC-023</x:v>
      </x:c>
      <x:c r="B24" s="4" t="str">
        <x:v>Netmarble</x:v>
      </x:c>
      <x:c r="C24" s="4" t="str">
        <x:v>S2</x:v>
      </x:c>
      <x:c r="D24" s="4" t="str">
        <x:v>https://company.netmarble.com/en/company/about</x:v>
      </x:c>
    </x:row>
    <x:row r="25">
      <x:c r="A25" s="4" t="str">
        <x:v>SRC-024</x:v>
      </x:c>
      <x:c r="B25" s="4" t="str">
        <x:v>Netmarble</x:v>
      </x:c>
      <x:c r="C25" s="4" t="str">
        <x:v>S3</x:v>
      </x:c>
      <x:c r="D25" s="4" t="str">
        <x:v>https://company.netmarble.com/en/ir</x:v>
      </x:c>
    </x:row>
    <x:row r="26">
      <x:c r="A26" s="4" t="str">
        <x:v>SRC-025</x:v>
      </x:c>
      <x:c r="B26" s="4" t="str">
        <x:v>GREE Holdings / WFS</x:v>
      </x:c>
      <x:c r="C26" s="4" t="str">
        <x:v>S1</x:v>
      </x:c>
      <x:c r="D26" s="4" t="str">
        <x:v>https://gree.co.jp/jp/en/business/index.html</x:v>
      </x:c>
    </x:row>
    <x:row r="27">
      <x:c r="A27" s="4" t="str">
        <x:v>SRC-026</x:v>
      </x:c>
      <x:c r="B27" s="4" t="str">
        <x:v>GREE Holdings / WFS</x:v>
      </x:c>
      <x:c r="C27" s="4" t="str">
        <x:v>S2</x:v>
      </x:c>
      <x:c r="D27" s="4" t="str">
        <x:v>https://www.wfs.games/en/</x:v>
      </x:c>
    </x:row>
    <x:row r="28">
      <x:c r="A28" s="4" t="str">
        <x:v>SRC-027</x:v>
      </x:c>
      <x:c r="B28" s="4" t="str">
        <x:v>GREE Holdings / WFS</x:v>
      </x:c>
      <x:c r="C28" s="4" t="str">
        <x:v>S3</x:v>
      </x:c>
      <x:c r="D28" s="4" t="str">
        <x:v>https://www.gematsu.com/2024/11/gree-establishes-gree-studios-to-manage-consumer-games-business-live-service-games-business-absorbed-by-wfs</x:v>
      </x:c>
    </x:row>
    <x:row r="29">
      <x:c r="A29" s="4" t="str">
        <x:v>SRC-028</x:v>
      </x:c>
      <x:c r="B29" s="4" t="str">
        <x:v>MIXI</x:v>
      </x:c>
      <x:c r="C29" s="4" t="str">
        <x:v>S1</x:v>
      </x:c>
      <x:c r="D29" s="4" t="str">
        <x:v>https://mixi.co.jp/en/company/profile/</x:v>
      </x:c>
    </x:row>
    <x:row r="30">
      <x:c r="A30" s="4" t="str">
        <x:v>SRC-029</x:v>
      </x:c>
      <x:c r="B30" s="4" t="str">
        <x:v>MIXI</x:v>
      </x:c>
      <x:c r="C30" s="4" t="str">
        <x:v>S2</x:v>
      </x:c>
      <x:c r="D30" s="4" t="str">
        <x:v>https://mixi.co.jp/en/business/investment/</x:v>
      </x:c>
    </x:row>
    <x:row r="31">
      <x:c r="A31" s="4" t="str">
        <x:v>SRC-030</x:v>
      </x:c>
      <x:c r="B31" s="4" t="str">
        <x:v>MIXI</x:v>
      </x:c>
      <x:c r="C31" s="4" t="str">
        <x:v>S3</x:v>
      </x:c>
      <x:c r="D31" s="4" t="str">
        <x:v>https://invest.mixi.co.jp/</x:v>
      </x:c>
    </x:row>
    <x:row r="32">
      <x:c r="A32" s="4" t="str">
        <x:v>SRC-031</x:v>
      </x:c>
      <x:c r="B32" s="4" t="str">
        <x:v>Smilegate Megaport</x:v>
      </x:c>
      <x:c r="C32" s="4" t="str">
        <x:v>S1</x:v>
      </x:c>
      <x:c r="D32" s="4" t="str">
        <x:v>https://www.smilegate.com/en/</x:v>
      </x:c>
    </x:row>
    <x:row r="33">
      <x:c r="A33" s="4" t="str">
        <x:v>SRC-032</x:v>
      </x:c>
      <x:c r="B33" s="4" t="str">
        <x:v>Smilegate Megaport</x:v>
      </x:c>
      <x:c r="C33" s="4" t="str">
        <x:v>S2</x:v>
      </x:c>
      <x:c r="D33" s="4" t="str">
        <x:v>https://www.smilegate.com/business/megaport.do</x:v>
      </x:c>
    </x:row>
    <x:row r="34">
      <x:c r="A34" s="4" t="str">
        <x:v>SRC-033</x:v>
      </x:c>
      <x:c r="B34" s="4" t="str">
        <x:v>Smilegate Megaport</x:v>
      </x:c>
      <x:c r="C34" s="4" t="str">
        <x:v>S3</x:v>
      </x:c>
      <x:c r="D34" s="4" t="str">
        <x:v>https://www.smilegate.com/en/news/list.do</x:v>
      </x:c>
    </x:row>
    <x:row r="35">
      <x:c r="A35" s="4" t="str">
        <x:v>SRC-034</x:v>
      </x:c>
      <x:c r="B35" s="4" t="str">
        <x:v>KLab</x:v>
      </x:c>
      <x:c r="C35" s="4" t="str">
        <x:v>S1</x:v>
      </x:c>
      <x:c r="D35" s="4" t="str">
        <x:v>https://www.klab.com/en/</x:v>
      </x:c>
    </x:row>
    <x:row r="36">
      <x:c r="A36" s="4" t="str">
        <x:v>SRC-035</x:v>
      </x:c>
      <x:c r="B36" s="4" t="str">
        <x:v>KLab</x:v>
      </x:c>
      <x:c r="C36" s="4" t="str">
        <x:v>S2</x:v>
      </x:c>
      <x:c r="D36" s="4" t="str">
        <x:v>https://www.klab.com/en/press/release/2025/0801/flyhigh.html</x:v>
      </x:c>
    </x:row>
    <x:row r="37">
      <x:c r="A37" s="4" t="str">
        <x:v>SRC-036</x:v>
      </x:c>
      <x:c r="B37" s="4" t="str">
        <x:v>KLab</x:v>
      </x:c>
      <x:c r="C37" s="4" t="str">
        <x:v>S3</x:v>
      </x:c>
      <x:c r="D37" s="4" t="str">
        <x:v>https://www.klab.com/en/ir/</x:v>
      </x:c>
    </x:row>
    <x:row r="38">
      <x:c r="A38" s="4" t="str">
        <x:v>SRC-037</x:v>
      </x:c>
      <x:c r="B38" s="4" t="str">
        <x:v>Kakao Games</x:v>
      </x:c>
      <x:c r="C38" s="4" t="str">
        <x:v>S1</x:v>
      </x:c>
      <x:c r="D38" s="4" t="str">
        <x:v>https://www.kakaogamescorp.com/en</x:v>
      </x:c>
    </x:row>
    <x:row r="39">
      <x:c r="A39" s="4" t="str">
        <x:v>SRC-038</x:v>
      </x:c>
      <x:c r="B39" s="4" t="str">
        <x:v>Kakao Games</x:v>
      </x:c>
      <x:c r="C39" s="4" t="str">
        <x:v>S2</x:v>
      </x:c>
      <x:c r="D39" s="4" t="str">
        <x:v>https://www.kakaogamescorp.com/en/ir/irData</x:v>
      </x:c>
    </x:row>
    <x:row r="40">
      <x:c r="A40" s="4" t="str">
        <x:v>SRC-039</x:v>
      </x:c>
      <x:c r="B40" s="4" t="str">
        <x:v>Kakao Games</x:v>
      </x:c>
      <x:c r="C40" s="4" t="str">
        <x:v>S3</x:v>
      </x:c>
      <x:c r="D40" s="4" t="str">
        <x:v>https://www.kakaogamescorp.com/en/game</x:v>
      </x:c>
    </x:row>
    <x:row r="41">
      <x:c r="A41" s="4" t="str">
        <x:v>SRC-040</x:v>
      </x:c>
      <x:c r="B41" s="4" t="str">
        <x:v>NEOWIZ</x:v>
      </x:c>
      <x:c r="C41" s="4" t="str">
        <x:v>S1</x:v>
      </x:c>
      <x:c r="D41" s="4" t="str">
        <x:v>https://cdn.neowiz.com/neowiz-site/assets/ir-library/Q1-2025_NWZ_PPT_EN-dggcl9vz-xkoamocn.pdf</x:v>
      </x:c>
    </x:row>
    <x:row r="42">
      <x:c r="A42" s="4" t="str">
        <x:v>SRC-041</x:v>
      </x:c>
      <x:c r="B42" s="4" t="str">
        <x:v>NEOWIZ</x:v>
      </x:c>
      <x:c r="C42" s="4" t="str">
        <x:v>S2</x:v>
      </x:c>
      <x:c r="D42" s="4" t="str">
        <x:v>https://www.neowiz.com/neowiz</x:v>
      </x:c>
    </x:row>
    <x:row r="43">
      <x:c r="A43" s="4" t="str">
        <x:v>SRC-042</x:v>
      </x:c>
      <x:c r="B43" s="4" t="str">
        <x:v>NEOWIZ</x:v>
      </x:c>
      <x:c r="C43" s="4" t="str">
        <x:v>S3</x:v>
      </x:c>
      <x:c r="D43" s="4" t="str">
        <x:v>https://store.steampowered.com/publisher/NEOWIZ</x:v>
      </x:c>
    </x:row>
    <x:row r="44">
      <x:c r="A44" s="4" t="str">
        <x:v>SRC-043</x:v>
      </x:c>
      <x:c r="B44" s="4" t="str">
        <x:v>COLOPL</x:v>
      </x:c>
      <x:c r="C44" s="4" t="str">
        <x:v>S1</x:v>
      </x:c>
      <x:c r="D44" s="4" t="str">
        <x:v>https://colopl.co.jp/en/</x:v>
      </x:c>
    </x:row>
    <x:row r="45">
      <x:c r="A45" s="4" t="str">
        <x:v>SRC-044</x:v>
      </x:c>
      <x:c r="B45" s="4" t="str">
        <x:v>COLOPL</x:v>
      </x:c>
      <x:c r="C45" s="4" t="str">
        <x:v>S2</x:v>
      </x:c>
      <x:c r="D45" s="4" t="str">
        <x:v>https://www.coloplnext.co.jp/en/</x:v>
      </x:c>
    </x:row>
    <x:row r="46">
      <x:c r="A46" s="4" t="str">
        <x:v>SRC-045</x:v>
      </x:c>
      <x:c r="B46" s="4" t="str">
        <x:v>COLOPL</x:v>
      </x:c>
      <x:c r="C46" s="4" t="str">
        <x:v>S3</x:v>
      </x:c>
      <x:c r="D46" s="4" t="str">
        <x:v>https://colopl.co.jp/en/ir/</x:v>
      </x:c>
    </x:row>
    <x:row r="47">
      <x:c r="A47" s="4" t="str">
        <x:v>SRC-046</x:v>
      </x:c>
      <x:c r="B47" s="4" t="str">
        <x:v>gumi</x:v>
      </x:c>
      <x:c r="C47" s="4" t="str">
        <x:v>S1</x:v>
      </x:c>
      <x:c r="D47" s="4" t="str">
        <x:v>https://gu3.co.jp/en/</x:v>
      </x:c>
    </x:row>
    <x:row r="48">
      <x:c r="A48" s="4" t="str">
        <x:v>SRC-047</x:v>
      </x:c>
      <x:c r="B48" s="4" t="str">
        <x:v>gumi</x:v>
      </x:c>
      <x:c r="C48" s="4" t="str">
        <x:v>S2</x:v>
      </x:c>
      <x:c r="D48" s="4" t="str">
        <x:v>https://gu3.co.jp/en/blockchain/</x:v>
      </x:c>
    </x:row>
    <x:row r="49">
      <x:c r="A49" s="4" t="str">
        <x:v>SRC-048</x:v>
      </x:c>
      <x:c r="B49" s="4" t="str">
        <x:v>gumi</x:v>
      </x:c>
      <x:c r="C49" s="4" t="str">
        <x:v>S3</x:v>
      </x:c>
      <x:c r="D49" s="4" t="str">
        <x:v>https://gu3.co.jp/en/ir/</x:v>
      </x:c>
    </x:row>
    <x:row r="50">
      <x:c r="A50" s="4" t="str">
        <x:v>SRC-049</x:v>
      </x:c>
      <x:c r="B50" s="4" t="str">
        <x:v>GungHo Online Entertainment</x:v>
      </x:c>
      <x:c r="C50" s="4" t="str">
        <x:v>S1</x:v>
      </x:c>
      <x:c r="D50" s="4" t="str">
        <x:v>https://www.gungho.co.jp/en/</x:v>
      </x:c>
    </x:row>
    <x:row r="51">
      <x:c r="A51" s="4" t="str">
        <x:v>SRC-050</x:v>
      </x:c>
      <x:c r="B51" s="4" t="str">
        <x:v>GungHo Online Entertainment</x:v>
      </x:c>
      <x:c r="C51" s="4" t="str">
        <x:v>S2</x:v>
      </x:c>
      <x:c r="D51" s="4" t="str">
        <x:v>https://www.gungho.co.jp/en/ir/</x:v>
      </x:c>
    </x:row>
    <x:row r="52">
      <x:c r="A52" s="4" t="str">
        <x:v>SRC-051</x:v>
      </x:c>
      <x:c r="B52" s="4" t="str">
        <x:v>GungHo Online Entertainment</x:v>
      </x:c>
      <x:c r="C52" s="4" t="str">
        <x:v>S3</x:v>
      </x:c>
      <x:c r="D52" s="4" t="str">
        <x:v>https://www.gungho.co.jp/en/game/</x:v>
      </x:c>
    </x:row>
    <x:row r="53">
      <x:c r="A53" s="4" t="str">
        <x:v>SRC-052</x:v>
      </x:c>
      <x:c r="B53" s="4" t="str">
        <x:v>Supercent</x:v>
      </x:c>
      <x:c r="C53" s="4" t="str">
        <x:v>S1</x:v>
      </x:c>
      <x:c r="D53" s="4" t="str">
        <x:v>https://supercent.io/</x:v>
      </x:c>
    </x:row>
    <x:row r="54">
      <x:c r="A54" s="4" t="str">
        <x:v>SRC-053</x:v>
      </x:c>
      <x:c r="B54" s="4" t="str">
        <x:v>Supercent</x:v>
      </x:c>
      <x:c r="C54" s="4" t="str">
        <x:v>S2</x:v>
      </x:c>
      <x:c r="D54" s="4" t="str">
        <x:v>https://www.linkedin.com/company/supercent/</x:v>
      </x:c>
    </x:row>
    <x:row r="55">
      <x:c r="A55" s="4" t="str">
        <x:v>SRC-054</x:v>
      </x:c>
      <x:c r="B55" s="4" t="str">
        <x:v>Supercent</x:v>
      </x:c>
      <x:c r="C55" s="4" t="str">
        <x:v>S3</x:v>
      </x:c>
      <x:c r="D55" s="4" t="str">
        <x:v>https://supercent.io/contact</x:v>
      </x:c>
    </x:row>
    <x:row r="56">
      <x:c r="A56" s="4" t="str">
        <x:v>SRC-055</x:v>
      </x:c>
      <x:c r="B56" s="4" t="str">
        <x:v>111Percent</x:v>
      </x:c>
      <x:c r="C56" s="4" t="str">
        <x:v>S1</x:v>
      </x:c>
      <x:c r="D56" s="4" t="str">
        <x:v>https://111percent.net/en/</x:v>
      </x:c>
    </x:row>
    <x:row r="57">
      <x:c r="A57" s="4" t="str">
        <x:v>SRC-056</x:v>
      </x:c>
      <x:c r="B57" s="4" t="str">
        <x:v>111Percent</x:v>
      </x:c>
      <x:c r="C57" s="4" t="str">
        <x:v>S2</x:v>
      </x:c>
      <x:c r="D57" s="4" t="str">
        <x:v>https://111percent.net/en/games/</x:v>
      </x:c>
    </x:row>
    <x:row r="58">
      <x:c r="A58" s="4" t="str">
        <x:v>SRC-057</x:v>
      </x:c>
      <x:c r="B58" s="4" t="str">
        <x:v>111Percent</x:v>
      </x:c>
      <x:c r="C58" s="4" t="str">
        <x:v>S3</x:v>
      </x:c>
      <x:c r="D58" s="4" t="str">
        <x:v>https://www.linkedin.com/company/111percent/</x:v>
      </x:c>
    </x:row>
    <x:row r="59">
      <x:c r="A59" s="4" t="str">
        <x:v>SRC-058</x:v>
      </x:c>
      <x:c r="B59" s="4" t="str">
        <x:v>KADOKAWA</x:v>
      </x:c>
      <x:c r="C59" s="4" t="str">
        <x:v>S1</x:v>
      </x:c>
      <x:c r="D59" s="4" t="str">
        <x:v>https://group.kadokawa.co.jp/global/</x:v>
      </x:c>
    </x:row>
    <x:row r="60">
      <x:c r="A60" s="4" t="str">
        <x:v>SRC-059</x:v>
      </x:c>
      <x:c r="B60" s="4" t="str">
        <x:v>KADOKAWA</x:v>
      </x:c>
      <x:c r="C60" s="4" t="str">
        <x:v>S2</x:v>
      </x:c>
      <x:c r="D60" s="4" t="str">
        <x:v>https://group.kadokawa.co.jp/ir/library/integrated_report.html</x:v>
      </x:c>
    </x:row>
    <x:row r="61">
      <x:c r="A61" s="4" t="str">
        <x:v>SRC-060</x:v>
      </x:c>
      <x:c r="B61" s="4" t="str">
        <x:v>KADOKAWA</x:v>
      </x:c>
      <x:c r="C61" s="4" t="str">
        <x:v>S3</x:v>
      </x:c>
      <x:c r="D61" s="4" t="str">
        <x:v>https://group.kadokawa.co.jp/media/ir/media-download/1851/8394a61e1784306e/</x:v>
      </x:c>
    </x:row>
    <x:row r="62">
      <x:c r="A62" s="4" t="str">
        <x:v>SRC-061</x:v>
      </x:c>
      <x:c r="B62" s="4" t="str">
        <x:v>Square Enix</x:v>
      </x:c>
      <x:c r="C62" s="4" t="str">
        <x:v>S1</x:v>
      </x:c>
      <x:c r="D62" s="4" t="str">
        <x:v>https://www.hd.square-enix.com/eng/</x:v>
      </x:c>
    </x:row>
    <x:row r="63">
      <x:c r="A63" s="4" t="str">
        <x:v>SRC-062</x:v>
      </x:c>
      <x:c r="B63" s="4" t="str">
        <x:v>Square Enix</x:v>
      </x:c>
      <x:c r="C63" s="4" t="str">
        <x:v>S2</x:v>
      </x:c>
      <x:c r="D63" s="4" t="str">
        <x:v>https://www.hd.square-enix.com/eng/ir/library/ar.html</x:v>
      </x:c>
    </x:row>
    <x:row r="64">
      <x:c r="A64" s="4" t="str">
        <x:v>SRC-063</x:v>
      </x:c>
      <x:c r="B64" s="4" t="str">
        <x:v>Square Enix</x:v>
      </x:c>
      <x:c r="C64" s="4" t="str">
        <x:v>S3</x:v>
      </x:c>
      <x:c r="D64" s="4" t="str">
        <x:v>https://www.jp.square-enix.com/</x:v>
      </x:c>
    </x:row>
    <x:row r="65">
      <x:c r="A65" s="4" t="str">
        <x:v>SRC-064</x:v>
      </x:c>
      <x:c r="B65" s="4" t="str">
        <x:v>Cygames</x:v>
      </x:c>
      <x:c r="C65" s="4" t="str">
        <x:v>S1</x:v>
      </x:c>
      <x:c r="D65" s="4" t="str">
        <x:v>https://www.cygames.co.jp/en/corporate/profile/</x:v>
      </x:c>
    </x:row>
    <x:row r="66">
      <x:c r="A66" s="4" t="str">
        <x:v>SRC-065</x:v>
      </x:c>
      <x:c r="B66" s="4" t="str">
        <x:v>Cygames</x:v>
      </x:c>
      <x:c r="C66" s="4" t="str">
        <x:v>S2</x:v>
      </x:c>
      <x:c r="D66" s="4" t="str">
        <x:v>https://www.cygames.co.jp/en/games/</x:v>
      </x:c>
    </x:row>
    <x:row r="67">
      <x:c r="A67" s="4" t="str">
        <x:v>SRC-066</x:v>
      </x:c>
      <x:c r="B67" s="4" t="str">
        <x:v>Cygames</x:v>
      </x:c>
      <x:c r="C67" s="4" t="str">
        <x:v>S3</x:v>
      </x:c>
      <x:c r="D67" s="4" t="str">
        <x:v>https://report.cyberagent.co.jp/en/game/</x:v>
      </x:c>
    </x:row>
    <x:row r="68">
      <x:c r="A68" s="4" t="str">
        <x:v>SRC-067</x:v>
      </x:c>
      <x:c r="B68" s="4" t="str">
        <x:v>Konami Digital Entertainment</x:v>
      </x:c>
      <x:c r="C68" s="4" t="str">
        <x:v>S1</x:v>
      </x:c>
      <x:c r="D68" s="4" t="str">
        <x:v>https://www.konami.com/games/corporate/en/</x:v>
      </x:c>
    </x:row>
    <x:row r="69">
      <x:c r="A69" s="4" t="str">
        <x:v>SRC-068</x:v>
      </x:c>
      <x:c r="B69" s="4" t="str">
        <x:v>Konami Digital Entertainment</x:v>
      </x:c>
      <x:c r="C69" s="4" t="str">
        <x:v>S2</x:v>
      </x:c>
      <x:c r="D69" s="4" t="str">
        <x:v>https://www.konami.com/ir/en/</x:v>
      </x:c>
    </x:row>
    <x:row r="70">
      <x:c r="A70" s="4" t="str">
        <x:v>SRC-069</x:v>
      </x:c>
      <x:c r="B70" s="4" t="str">
        <x:v>Konami Digital Entertainment</x:v>
      </x:c>
      <x:c r="C70" s="4" t="str">
        <x:v>S3</x:v>
      </x:c>
      <x:c r="D70" s="4" t="str">
        <x:v>https://www.konami.com/games/us/en/</x:v>
      </x:c>
    </x:row>
    <x:row r="71">
      <x:c r="A71" s="4" t="str">
        <x:v>SRC-070</x:v>
      </x:c>
      <x:c r="B71" s="4" t="str">
        <x:v>Akatsuki Games</x:v>
      </x:c>
      <x:c r="C71" s="4" t="str">
        <x:v>S1</x:v>
      </x:c>
      <x:c r="D71" s="4" t="str">
        <x:v>https://aktsk.com/en/games/</x:v>
      </x:c>
    </x:row>
    <x:row r="72">
      <x:c r="A72" s="4" t="str">
        <x:v>SRC-071</x:v>
      </x:c>
      <x:c r="B72" s="4" t="str">
        <x:v>Akatsuki Games</x:v>
      </x:c>
      <x:c r="C72" s="4" t="str">
        <x:v>S2</x:v>
      </x:c>
      <x:c r="D72" s="4" t="str">
        <x:v>https://aktsk.com/en/company/</x:v>
      </x:c>
    </x:row>
    <x:row r="73">
      <x:c r="A73" s="4" t="str">
        <x:v>SRC-072</x:v>
      </x:c>
      <x:c r="B73" s="4" t="str">
        <x:v>Akatsuki Games</x:v>
      </x:c>
      <x:c r="C73" s="4" t="str">
        <x:v>S3</x:v>
      </x:c>
      <x:c r="D73" s="4" t="str">
        <x:v>https://aktsk.jp/en/</x:v>
      </x:c>
    </x:row>
    <x:row r="74">
      <x:c r="A74" s="4" t="str">
        <x:v>SRC-073</x:v>
      </x:c>
      <x:c r="B74" s="4" t="str">
        <x:v>Drecom</x:v>
      </x:c>
      <x:c r="C74" s="4" t="str">
        <x:v>S1</x:v>
      </x:c>
      <x:c r="D74" s="4" t="str">
        <x:v>https://drecom.co.jp/en/</x:v>
      </x:c>
    </x:row>
    <x:row r="75">
      <x:c r="A75" s="4" t="str">
        <x:v>SRC-074</x:v>
      </x:c>
      <x:c r="B75" s="4" t="str">
        <x:v>Drecom</x:v>
      </x:c>
      <x:c r="C75" s="4" t="str">
        <x:v>S2</x:v>
      </x:c>
      <x:c r="D75" s="4" t="str">
        <x:v>https://drecom.co.jp/en/ir/</x:v>
      </x:c>
    </x:row>
    <x:row r="76">
      <x:c r="A76" s="4" t="str">
        <x:v>SRC-075</x:v>
      </x:c>
      <x:c r="B76" s="4" t="str">
        <x:v>Drecom</x:v>
      </x:c>
      <x:c r="C76" s="4" t="str">
        <x:v>S3</x:v>
      </x:c>
      <x:c r="D76" s="4" t="str">
        <x:v>https://drecom.co.jp/en/service/</x:v>
      </x:c>
    </x:row>
    <x:row r="77">
      <x:c r="A77" s="4" t="str">
        <x:v>SRC-076</x:v>
      </x:c>
      <x:c r="B77" s="4" t="str">
        <x:v>SEGA</x:v>
      </x:c>
      <x:c r="C77" s="4" t="str">
        <x:v>S1</x:v>
      </x:c>
      <x:c r="D77" s="4" t="str">
        <x:v>https://www.sega.co.jp/en/</x:v>
      </x:c>
    </x:row>
    <x:row r="78">
      <x:c r="A78" s="4" t="str">
        <x:v>SRC-077</x:v>
      </x:c>
      <x:c r="B78" s="4" t="str">
        <x:v>SEGA</x:v>
      </x:c>
      <x:c r="C78" s="4" t="str">
        <x:v>S2</x:v>
      </x:c>
      <x:c r="D78" s="4" t="str">
        <x:v>https://www.segasammy.co.jp/en/ir/</x:v>
      </x:c>
    </x:row>
    <x:row r="79">
      <x:c r="A79" s="4" t="str">
        <x:v>SRC-078</x:v>
      </x:c>
      <x:c r="B79" s="4" t="str">
        <x:v>SEGA</x:v>
      </x:c>
      <x:c r="C79" s="4" t="str">
        <x:v>S3</x:v>
      </x:c>
      <x:c r="D79" s="4" t="str">
        <x:v>https://www.sega.co.jp/en/release/</x:v>
      </x:c>
    </x:row>
    <x:row r="80">
      <x:c r="A80" s="4" t="str">
        <x:v>SRC-079</x:v>
      </x:c>
      <x:c r="B80" s="4" t="str">
        <x:v>Marvelous</x:v>
      </x:c>
      <x:c r="C80" s="4" t="str">
        <x:v>S1</x:v>
      </x:c>
      <x:c r="D80" s="4" t="str">
        <x:v>https://corp.marv.jp/english/</x:v>
      </x:c>
    </x:row>
    <x:row r="81">
      <x:c r="A81" s="4" t="str">
        <x:v>SRC-080</x:v>
      </x:c>
      <x:c r="B81" s="4" t="str">
        <x:v>Marvelous</x:v>
      </x:c>
      <x:c r="C81" s="4" t="str">
        <x:v>S2</x:v>
      </x:c>
      <x:c r="D81" s="4" t="str">
        <x:v>https://corp.marv.jp/english/business/</x:v>
      </x:c>
    </x:row>
    <x:row r="82">
      <x:c r="A82" s="4" t="str">
        <x:v>SRC-081</x:v>
      </x:c>
      <x:c r="B82" s="4" t="str">
        <x:v>Marvelous</x:v>
      </x:c>
      <x:c r="C82" s="4" t="str">
        <x:v>S3</x:v>
      </x:c>
      <x:c r="D82" s="4" t="str">
        <x:v>https://corp.marv.jp/english/ir/</x:v>
      </x:c>
    </x:row>
    <x:row r="83">
      <x:c r="A83" s="4" t="str">
        <x:v>SRC-082</x:v>
      </x:c>
      <x:c r="B83" s="4" t="str">
        <x:v>CookApps</x:v>
      </x:c>
      <x:c r="C83" s="4" t="str">
        <x:v>S1</x:v>
      </x:c>
      <x:c r="D83" s="4" t="str">
        <x:v>https://cookapps.com/</x:v>
      </x:c>
    </x:row>
    <x:row r="84">
      <x:c r="A84" s="4" t="str">
        <x:v>SRC-083</x:v>
      </x:c>
      <x:c r="B84" s="4" t="str">
        <x:v>CookApps</x:v>
      </x:c>
      <x:c r="C84" s="4" t="str">
        <x:v>S2</x:v>
      </x:c>
      <x:c r="D84" s="4" t="str">
        <x:v>https://cookapps.com/games</x:v>
      </x:c>
    </x:row>
    <x:row r="85">
      <x:c r="A85" s="4" t="str">
        <x:v>SRC-084</x:v>
      </x:c>
      <x:c r="B85" s="4" t="str">
        <x:v>CookApps</x:v>
      </x:c>
      <x:c r="C85" s="4" t="str">
        <x:v>S3</x:v>
      </x:c>
      <x:c r="D85" s="4" t="str">
        <x:v>https://www.linkedin.com/company/cookapps/</x:v>
      </x:c>
    </x:row>
    <x:row r="86">
      <x:c r="A86" s="4" t="str">
        <x:v>SRC-085</x:v>
      </x:c>
      <x:c r="B86" s="4" t="str">
        <x:v>HAEGIN</x:v>
      </x:c>
      <x:c r="C86" s="4" t="str">
        <x:v>S1</x:v>
      </x:c>
      <x:c r="D86" s="4" t="str">
        <x:v>https://haegin.kr/</x:v>
      </x:c>
    </x:row>
    <x:row r="87">
      <x:c r="A87" s="4" t="str">
        <x:v>SRC-086</x:v>
      </x:c>
      <x:c r="B87" s="4" t="str">
        <x:v>HAEGIN</x:v>
      </x:c>
      <x:c r="C87" s="4" t="str">
        <x:v>S2</x:v>
      </x:c>
      <x:c r="D87" s="4" t="str">
        <x:v>https://haegin.kr/games</x:v>
      </x:c>
    </x:row>
    <x:row r="88">
      <x:c r="A88" s="4" t="str">
        <x:v>SRC-087</x:v>
      </x:c>
      <x:c r="B88" s="4" t="str">
        <x:v>HAEGIN</x:v>
      </x:c>
      <x:c r="C88" s="4" t="str">
        <x:v>S3</x:v>
      </x:c>
      <x:c r="D88" s="4" t="str">
        <x:v>https://www.linkedin.com/company/haegin/</x:v>
      </x:c>
    </x:row>
    <x:row r="89">
      <x:c r="A89" s="4" t="str">
        <x:v>SRC-088</x:v>
      </x:c>
      <x:c r="B89" s="4" t="str">
        <x:v>Nexon Korea / Nexon</x:v>
      </x:c>
      <x:c r="C89" s="4" t="str">
        <x:v>S1</x:v>
      </x:c>
      <x:c r="D89" s="4" t="str">
        <x:v>https://www.nexon.com/</x:v>
      </x:c>
    </x:row>
    <x:row r="90">
      <x:c r="A90" s="4" t="str">
        <x:v>SRC-089</x:v>
      </x:c>
      <x:c r="B90" s="4" t="str">
        <x:v>Nexon Korea / Nexon</x:v>
      </x:c>
      <x:c r="C90" s="4" t="str">
        <x:v>S2</x:v>
      </x:c>
      <x:c r="D90" s="4" t="str">
        <x:v>https://ir.nexon.co.jp/en/</x:v>
      </x:c>
    </x:row>
    <x:row r="91">
      <x:c r="A91" s="4" t="str">
        <x:v>SRC-090</x:v>
      </x:c>
      <x:c r="B91" s="4" t="str">
        <x:v>Nexon Korea / Nexon</x:v>
      </x:c>
      <x:c r="C91" s="4" t="str">
        <x:v>S3</x:v>
      </x:c>
      <x:c r="D91" s="4" t="str">
        <x:v>https://www.nexon.com/main/en/game</x:v>
      </x:c>
    </x:row>
    <x:row r="92">
      <x:c r="A92" s="4" t="str">
        <x:v>SRC-091</x:v>
      </x:c>
      <x:c r="B92" s="4" t="str">
        <x:v>Aniplex</x:v>
      </x:c>
      <x:c r="C92" s="4" t="str">
        <x:v>S1</x:v>
      </x:c>
      <x:c r="D92" s="4" t="str">
        <x:v>https://www.aniplex.co.jp/eng/</x:v>
      </x:c>
    </x:row>
    <x:row r="93">
      <x:c r="A93" s="4" t="str">
        <x:v>SRC-092</x:v>
      </x:c>
      <x:c r="B93" s="4" t="str">
        <x:v>Aniplex</x:v>
      </x:c>
      <x:c r="C93" s="4" t="str">
        <x:v>S2</x:v>
      </x:c>
      <x:c r="D93" s="4" t="str">
        <x:v>https://www.aniplex.co.jp/eng/game.html</x:v>
      </x:c>
    </x:row>
    <x:row r="94">
      <x:c r="A94" s="4" t="str">
        <x:v>SRC-093</x:v>
      </x:c>
      <x:c r="B94" s="4" t="str">
        <x:v>Aniplex</x:v>
      </x:c>
      <x:c r="C94" s="4" t="str">
        <x:v>S3</x:v>
      </x:c>
      <x:c r="D94" s="4" t="str">
        <x:v>https://www.sonymusic.co.jp/eng/</x:v>
      </x:c>
    </x:row>
    <x:row r="95">
      <x:c r="A95" s="4" t="str">
        <x:v>SRC-094</x:v>
      </x:c>
      <x:c r="B95" s="4" t="str">
        <x:v>Devsisters</x:v>
      </x:c>
      <x:c r="C95" s="4" t="str">
        <x:v>S1</x:v>
      </x:c>
      <x:c r="D95" s="4" t="str">
        <x:v>https://www.devsisters.com/en</x:v>
      </x:c>
    </x:row>
    <x:row r="96">
      <x:c r="A96" s="4" t="str">
        <x:v>SRC-095</x:v>
      </x:c>
      <x:c r="B96" s="4" t="str">
        <x:v>Devsisters</x:v>
      </x:c>
      <x:c r="C96" s="4" t="str">
        <x:v>S2</x:v>
      </x:c>
      <x:c r="D96" s="4" t="str">
        <x:v>https://www.devsisters.com/en/games</x:v>
      </x:c>
    </x:row>
    <x:row r="97">
      <x:c r="A97" s="4" t="str">
        <x:v>SRC-096</x:v>
      </x:c>
      <x:c r="B97" s="4" t="str">
        <x:v>Devsisters</x:v>
      </x:c>
      <x:c r="C97" s="4" t="str">
        <x:v>S3</x:v>
      </x:c>
      <x:c r="D97" s="4" t="str">
        <x:v>https://www.devsisters.com/en/ir</x:v>
      </x:c>
    </x:row>
    <x:row r="98">
      <x:c r="A98" s="4" t="str">
        <x:v>SRC-097</x:v>
      </x:c>
      <x:c r="B98" s="4" t="str">
        <x:v>Wemade Play</x:v>
      </x:c>
      <x:c r="C98" s="4" t="str">
        <x:v>S1</x:v>
      </x:c>
      <x:c r="D98" s="4" t="str">
        <x:v>https://www.wemadeplay.com/</x:v>
      </x:c>
    </x:row>
    <x:row r="99">
      <x:c r="A99" s="4" t="str">
        <x:v>SRC-098</x:v>
      </x:c>
      <x:c r="B99" s="4" t="str">
        <x:v>Wemade Play</x:v>
      </x:c>
      <x:c r="C99" s="4" t="str">
        <x:v>S2</x:v>
      </x:c>
      <x:c r="D99" s="4" t="str">
        <x:v>https://www.wemadeplay.com/game</x:v>
      </x:c>
    </x:row>
    <x:row r="100">
      <x:c r="A100" s="4" t="str">
        <x:v>SRC-099</x:v>
      </x:c>
      <x:c r="B100" s="4" t="str">
        <x:v>Wemade Play</x:v>
      </x:c>
      <x:c r="C100" s="4" t="str">
        <x:v>S3</x:v>
      </x:c>
      <x:c r="D100" s="4" t="str">
        <x:v>https://www.wemade.com/en</x:v>
      </x:c>
    </x:row>
    <x:row r="101">
      <x:c r="A101" s="4" t="str">
        <x:v>SRC-100</x:v>
      </x:c>
      <x:c r="B101" s="4" t="str">
        <x:v>Koei Tecmo Games</x:v>
      </x:c>
      <x:c r="C101" s="4" t="str">
        <x:v>S1</x:v>
      </x:c>
      <x:c r="D101" s="4" t="str">
        <x:v>https://www.koeitecmo.co.jp/e/</x:v>
      </x:c>
    </x:row>
    <x:row r="102">
      <x:c r="A102" s="4" t="str">
        <x:v>SRC-101</x:v>
      </x:c>
      <x:c r="B102" s="4" t="str">
        <x:v>Koei Tecmo Games</x:v>
      </x:c>
      <x:c r="C102" s="4" t="str">
        <x:v>S2</x:v>
      </x:c>
      <x:c r="D102" s="4" t="str">
        <x:v>https://www.koeitecmo.co.jp/e/ir/</x:v>
      </x:c>
    </x:row>
    <x:row r="103">
      <x:c r="A103" s="4" t="str">
        <x:v>SRC-102</x:v>
      </x:c>
      <x:c r="B103" s="4" t="str">
        <x:v>Koei Tecmo Games</x:v>
      </x:c>
      <x:c r="C103" s="4" t="str">
        <x:v>S3</x:v>
      </x:c>
      <x:c r="D103" s="4" t="str">
        <x:v>https://www.koeitecmoamerica.com/</x:v>
      </x:c>
    </x:row>
    <x:row r="104">
      <x:c r="A104" s="4" t="str">
        <x:v>SRC-103</x:v>
      </x:c>
      <x:c r="B104" s="4" t="str">
        <x:v>Bushiroad</x:v>
      </x:c>
      <x:c r="C104" s="4" t="str">
        <x:v>S1</x:v>
      </x:c>
      <x:c r="D104" s="4" t="str">
        <x:v>https://bushiroad.co.jp/en/</x:v>
      </x:c>
    </x:row>
    <x:row r="105">
      <x:c r="A105" s="4" t="str">
        <x:v>SRC-104</x:v>
      </x:c>
      <x:c r="B105" s="4" t="str">
        <x:v>Bushiroad</x:v>
      </x:c>
      <x:c r="C105" s="4" t="str">
        <x:v>S2</x:v>
      </x:c>
      <x:c r="D105" s="4" t="str">
        <x:v>https://bushiroad.co.jp/en/company/</x:v>
      </x:c>
    </x:row>
    <x:row r="106">
      <x:c r="A106" s="4" t="str">
        <x:v>SRC-105</x:v>
      </x:c>
      <x:c r="B106" s="4" t="str">
        <x:v>Bushiroad</x:v>
      </x:c>
      <x:c r="C106" s="4" t="str">
        <x:v>S3</x:v>
      </x:c>
      <x:c r="D106" s="4" t="str">
        <x:v>https://bushiroad.co.jp/en/ir/</x:v>
      </x:c>
    </x:row>
    <x:row r="107">
      <x:c r="A107" s="4" t="str">
        <x:v>SRC-106</x:v>
      </x:c>
      <x:c r="B107" s="4" t="str">
        <x:v>Capcom</x:v>
      </x:c>
      <x:c r="C107" s="4" t="str">
        <x:v>S1</x:v>
      </x:c>
      <x:c r="D107" s="4" t="str">
        <x:v>https://www.capcom.co.jp/ir/english/</x:v>
      </x:c>
    </x:row>
    <x:row r="108">
      <x:c r="A108" s="4" t="str">
        <x:v>SRC-107</x:v>
      </x:c>
      <x:c r="B108" s="4" t="str">
        <x:v>Capcom</x:v>
      </x:c>
      <x:c r="C108" s="4" t="str">
        <x:v>S2</x:v>
      </x:c>
      <x:c r="D108" s="4" t="str">
        <x:v>https://www.capcom-games.com/en-us/</x:v>
      </x:c>
    </x:row>
    <x:row r="109">
      <x:c r="A109" s="4" t="str">
        <x:v>SRC-108</x:v>
      </x:c>
      <x:c r="B109" s="4" t="str">
        <x:v>Capcom</x:v>
      </x:c>
      <x:c r="C109" s="4" t="str">
        <x:v>S3</x:v>
      </x:c>
      <x:c r="D109" s="4" t="str">
        <x:v>https://www.capcom.co.jp/ir/english/business/mobile.html</x:v>
      </x:c>
    </x:row>
    <x:row r="110">
      <x:c r="A110" s="4" t="str">
        <x:v>SRC-109</x:v>
      </x:c>
      <x:c r="B110" s="4" t="str">
        <x:v>BitMango</x:v>
      </x:c>
      <x:c r="C110" s="4" t="str">
        <x:v>S1</x:v>
      </x:c>
      <x:c r="D110" s="4" t="str">
        <x:v>https://www.bitmango.com/</x:v>
      </x:c>
    </x:row>
    <x:row r="111">
      <x:c r="A111" s="4" t="str">
        <x:v>SRC-110</x:v>
      </x:c>
      <x:c r="B111" s="4" t="str">
        <x:v>BitMango</x:v>
      </x:c>
      <x:c r="C111" s="4" t="str">
        <x:v>S2</x:v>
      </x:c>
      <x:c r="D111" s="4" t="str">
        <x:v>https://www.bitmango.com/games</x:v>
      </x:c>
    </x:row>
    <x:row r="112">
      <x:c r="A112" s="4" t="str">
        <x:v>SRC-111</x:v>
      </x:c>
      <x:c r="B112" s="4" t="str">
        <x:v>BitMango</x:v>
      </x:c>
      <x:c r="C112" s="4" t="str">
        <x:v>S3</x:v>
      </x:c>
      <x:c r="D112" s="4" t="str">
        <x:v>https://www.linkedin.com/company/bitmango/</x:v>
      </x:c>
    </x:row>
    <x:row r="113">
      <x:c r="A113" s="4" t="str">
        <x:v>SRC-112</x:v>
      </x:c>
      <x:c r="B113" s="4" t="str">
        <x:v>NHN</x:v>
      </x:c>
      <x:c r="C113" s="4" t="str">
        <x:v>S1</x:v>
      </x:c>
      <x:c r="D113" s="4" t="str">
        <x:v>https://www.nhn.com/en</x:v>
      </x:c>
    </x:row>
    <x:row r="114">
      <x:c r="A114" s="4" t="str">
        <x:v>SRC-113</x:v>
      </x:c>
      <x:c r="B114" s="4" t="str">
        <x:v>NHN</x:v>
      </x:c>
      <x:c r="C114" s="4" t="str">
        <x:v>S2</x:v>
      </x:c>
      <x:c r="D114" s="4" t="str">
        <x:v>https://www.nhn.com/en/business/game</x:v>
      </x:c>
    </x:row>
    <x:row r="115">
      <x:c r="A115" s="4" t="str">
        <x:v>SRC-114</x:v>
      </x:c>
      <x:c r="B115" s="4" t="str">
        <x:v>NHN</x:v>
      </x:c>
      <x:c r="C115" s="4" t="str">
        <x:v>S3</x:v>
      </x:c>
      <x:c r="D115" s="4" t="str">
        <x:v>https://www.nhn.com/en/ir</x:v>
      </x:c>
    </x:row>
    <x:row r="116">
      <x:c r="A116" s="4" t="str">
        <x:v>SRC-115</x:v>
      </x:c>
      <x:c r="B116" s="4" t="str">
        <x:v>Springcomes</x:v>
      </x:c>
      <x:c r="C116" s="4" t="str">
        <x:v>S1</x:v>
      </x:c>
      <x:c r="D116" s="4" t="str">
        <x:v>https://springcomes.com/</x:v>
      </x:c>
    </x:row>
    <x:row r="117">
      <x:c r="A117" s="4" t="str">
        <x:v>SRC-116</x:v>
      </x:c>
      <x:c r="B117" s="4" t="str">
        <x:v>Springcomes</x:v>
      </x:c>
      <x:c r="C117" s="4" t="str">
        <x:v>S2</x:v>
      </x:c>
      <x:c r="D117" s="4" t="str">
        <x:v>https://about.ncsoft.com/en/news/article/news_update_251222</x:v>
      </x:c>
    </x:row>
    <x:row r="118">
      <x:c r="A118" s="4" t="str">
        <x:v>SRC-117</x:v>
      </x:c>
      <x:c r="B118" s="4" t="str">
        <x:v>Springcomes</x:v>
      </x:c>
      <x:c r="C118" s="4" t="str">
        <x:v>S3</x:v>
      </x:c>
      <x:c r="D118" s="4" t="str">
        <x:v>https://about.ncsoft.com/en/news/article/news_update_260312</x:v>
      </x:c>
    </x:row>
    <x:row r="119">
      <x:c r="A119" s="4" t="str">
        <x:v>SRC-118</x:v>
      </x:c>
      <x:c r="B119" s="4" t="str">
        <x:v>Happy Elements K.K.</x:v>
      </x:c>
      <x:c r="C119" s="4" t="str">
        <x:v>S1</x:v>
      </x:c>
      <x:c r="D119" s="4" t="str">
        <x:v>https://www.happyelements.co.jp/en/</x:v>
      </x:c>
    </x:row>
    <x:row r="120">
      <x:c r="A120" s="4" t="str">
        <x:v>SRC-119</x:v>
      </x:c>
      <x:c r="B120" s="4" t="str">
        <x:v>Happy Elements K.K.</x:v>
      </x:c>
      <x:c r="C120" s="4" t="str">
        <x:v>S2</x:v>
      </x:c>
      <x:c r="D120" s="4" t="str">
        <x:v>https://www.happyelements.co.jp/en/games/</x:v>
      </x:c>
    </x:row>
    <x:row r="121">
      <x:c r="A121" s="4" t="str">
        <x:v>SRC-120</x:v>
      </x:c>
      <x:c r="B121" s="4" t="str">
        <x:v>Happy Elements K.K.</x:v>
      </x:c>
      <x:c r="C121" s="4" t="str">
        <x:v>S3</x:v>
      </x:c>
      <x:c r="D121" s="4" t="str">
        <x:v>https://www.linkedin.com/company/happy-elements-k-k-/</x:v>
      </x:c>
    </x:row>
    <x:row r="122">
      <x:c r="A122" s="4" t="str">
        <x:v>SRC-121</x:v>
      </x:c>
      <x:c r="B122" s="4" t="str">
        <x:v>Nintendo</x:v>
      </x:c>
      <x:c r="C122" s="4" t="str">
        <x:v>S1</x:v>
      </x:c>
      <x:c r="D122" s="4" t="str">
        <x:v>https://www.nintendo.co.jp/corporate/en/</x:v>
      </x:c>
    </x:row>
    <x:row r="123">
      <x:c r="A123" s="4" t="str">
        <x:v>SRC-122</x:v>
      </x:c>
      <x:c r="B123" s="4" t="str">
        <x:v>Nintendo</x:v>
      </x:c>
      <x:c r="C123" s="4" t="str">
        <x:v>S2</x:v>
      </x:c>
      <x:c r="D123" s="4" t="str">
        <x:v>https://www.nintendo.co.jp/ir/en/</x:v>
      </x:c>
    </x:row>
    <x:row r="124">
      <x:c r="A124" s="4" t="str">
        <x:v>SRC-123</x:v>
      </x:c>
      <x:c r="B124" s="4" t="str">
        <x:v>Nintendo</x:v>
      </x:c>
      <x:c r="C124" s="4" t="str">
        <x:v>S3</x:v>
      </x:c>
      <x:c r="D124" s="4" t="str">
        <x:v>https://www.nintendo.com/us/store/mobile-games/</x:v>
      </x:c>
    </x:row>
    <x:row r="125">
      <x:c r="A125" s="4" t="str">
        <x:v>SRC-124</x:v>
      </x:c>
      <x:c r="B125" s="4" t="str">
        <x:v>Gravity</x:v>
      </x:c>
      <x:c r="C125" s="4" t="str">
        <x:v>S1</x:v>
      </x:c>
      <x:c r="D125" s="4" t="str">
        <x:v>https://www.gravity.co.kr/en</x:v>
      </x:c>
    </x:row>
    <x:row r="126">
      <x:c r="A126" s="4" t="str">
        <x:v>SRC-125</x:v>
      </x:c>
      <x:c r="B126" s="4" t="str">
        <x:v>Gravity</x:v>
      </x:c>
      <x:c r="C126" s="4" t="str">
        <x:v>S2</x:v>
      </x:c>
      <x:c r="D126" s="4" t="str">
        <x:v>https://www.gravity.co.kr/en/games/games.asp</x:v>
      </x:c>
    </x:row>
    <x:row r="127">
      <x:c r="A127" s="4" t="str">
        <x:v>SRC-126</x:v>
      </x:c>
      <x:c r="B127" s="4" t="str">
        <x:v>Gravity</x:v>
      </x:c>
      <x:c r="C127" s="4" t="str">
        <x:v>S3</x:v>
      </x:c>
      <x:c r="D127" s="4" t="str">
        <x:v>https://www.gravity.co.kr/en/ir/ir.asp</x:v>
      </x:c>
    </x:row>
    <x:row r="128">
      <x:c r="A128" s="4" t="str">
        <x:v>SRC-127</x:v>
      </x:c>
      <x:c r="B128" s="4" t="str">
        <x:v>Mobirix</x:v>
      </x:c>
      <x:c r="C128" s="4" t="str">
        <x:v>S1</x:v>
      </x:c>
      <x:c r="D128" s="4" t="str">
        <x:v>https://www.mobirix.com/</x:v>
      </x:c>
    </x:row>
    <x:row r="129">
      <x:c r="A129" s="4" t="str">
        <x:v>SRC-128</x:v>
      </x:c>
      <x:c r="B129" s="4" t="str">
        <x:v>Mobirix</x:v>
      </x:c>
      <x:c r="C129" s="4" t="str">
        <x:v>S2</x:v>
      </x:c>
      <x:c r="D129" s="4" t="str">
        <x:v>https://www.mobirix.com/game</x:v>
      </x:c>
    </x:row>
    <x:row r="130">
      <x:c r="A130" s="4" t="str">
        <x:v>SRC-129</x:v>
      </x:c>
      <x:c r="B130" s="4" t="str">
        <x:v>Mobirix</x:v>
      </x:c>
      <x:c r="C130" s="4" t="str">
        <x:v>S3</x:v>
      </x:c>
      <x:c r="D130" s="4" t="str">
        <x:v>https://www.mobirix.com/ir</x:v>
      </x:c>
    </x:row>
    <x:row r="131">
      <x:c r="A131" s="4" t="str">
        <x:v>SRC-130</x:v>
      </x:c>
      <x:c r="B131" s="4" t="str">
        <x:v>Pokelabo</x:v>
      </x:c>
      <x:c r="C131" s="4" t="str">
        <x:v>S1</x:v>
      </x:c>
      <x:c r="D131" s="4" t="str">
        <x:v>https://pokelabo.co.jp/en/</x:v>
      </x:c>
    </x:row>
    <x:row r="132">
      <x:c r="A132" s="4" t="str">
        <x:v>SRC-131</x:v>
      </x:c>
      <x:c r="B132" s="4" t="str">
        <x:v>Pokelabo</x:v>
      </x:c>
      <x:c r="C132" s="4" t="str">
        <x:v>S2</x:v>
      </x:c>
      <x:c r="D132" s="4" t="str">
        <x:v>https://www.wfs.games/en/</x:v>
      </x:c>
    </x:row>
    <x:row r="133">
      <x:c r="A133" s="4" t="str">
        <x:v>SRC-132</x:v>
      </x:c>
      <x:c r="B133" s="4" t="str">
        <x:v>Pokelabo</x:v>
      </x:c>
      <x:c r="C133" s="4" t="str">
        <x:v>S3</x:v>
      </x:c>
      <x:c r="D133" s="4" t="str">
        <x:v>https://www.gematsu.com/2024/11/gree-establishes-gree-studios-to-manage-consumer-games-business-live-service-games-business-absorbed-by-wfs</x:v>
      </x:c>
    </x:row>
    <x:row r="134">
      <x:c r="A134" s="4" t="str">
        <x:v>SRC-133</x:v>
      </x:c>
      <x:c r="B134" s="4" t="str">
        <x:v>Pearl Abyss</x:v>
      </x:c>
      <x:c r="C134" s="4" t="str">
        <x:v>S1</x:v>
      </x:c>
      <x:c r="D134" s="4" t="str">
        <x:v>https://www.pearlabyss.com/en-US</x:v>
      </x:c>
    </x:row>
    <x:row r="135">
      <x:c r="A135" s="4" t="str">
        <x:v>SRC-134</x:v>
      </x:c>
      <x:c r="B135" s="4" t="str">
        <x:v>Pearl Abyss</x:v>
      </x:c>
      <x:c r="C135" s="4" t="str">
        <x:v>S2</x:v>
      </x:c>
      <x:c r="D135" s="4" t="str">
        <x:v>https://www.pearlabyss.com/en-US/IR/Archive</x:v>
      </x:c>
    </x:row>
    <x:row r="136">
      <x:c r="A136" s="4" t="str">
        <x:v>SRC-135</x:v>
      </x:c>
      <x:c r="B136" s="4" t="str">
        <x:v>Pearl Abyss</x:v>
      </x:c>
      <x:c r="C136" s="4" t="str">
        <x:v>S3</x:v>
      </x:c>
      <x:c r="D136" s="4" t="str">
        <x:v>https://www.pearlabyss.com/en-US/Game/BlackDesert</x:v>
      </x:c>
    </x:row>
    <x:row r="137">
      <x:c r="A137" s="4" t="str">
        <x:v>SRC-136</x:v>
      </x:c>
      <x:c r="B137" s="4" t="str">
        <x:v>Wemade</x:v>
      </x:c>
      <x:c r="C137" s="4" t="str">
        <x:v>S1</x:v>
      </x:c>
      <x:c r="D137" s="4" t="str">
        <x:v>https://www.wemade.com/en</x:v>
      </x:c>
    </x:row>
    <x:row r="138">
      <x:c r="A138" s="4" t="str">
        <x:v>SRC-137</x:v>
      </x:c>
      <x:c r="B138" s="4" t="str">
        <x:v>Wemade</x:v>
      </x:c>
      <x:c r="C138" s="4" t="str">
        <x:v>S2</x:v>
      </x:c>
      <x:c r="D138" s="4" t="str">
        <x:v>https://www.wemade.com/en/games</x:v>
      </x:c>
    </x:row>
    <x:row r="139">
      <x:c r="A139" s="4" t="str">
        <x:v>SRC-138</x:v>
      </x:c>
      <x:c r="B139" s="4" t="str">
        <x:v>Wemade</x:v>
      </x:c>
      <x:c r="C139" s="4" t="str">
        <x:v>S3</x:v>
      </x:c>
      <x:c r="D139" s="4" t="str">
        <x:v>https://www.wemade.com/en/ir</x:v>
      </x:c>
    </x:row>
    <x:row r="140">
      <x:c r="A140" s="4" t="str">
        <x:v>SRC-139</x:v>
      </x:c>
      <x:c r="B140" s="4" t="str">
        <x:v>enish</x:v>
      </x:c>
      <x:c r="C140" s="4" t="str">
        <x:v>S1</x:v>
      </x:c>
      <x:c r="D140" s="4" t="str">
        <x:v>https://www.enish.com/en/</x:v>
      </x:c>
    </x:row>
    <x:row r="141">
      <x:c r="A141" s="4" t="str">
        <x:v>SRC-140</x:v>
      </x:c>
      <x:c r="B141" s="4" t="str">
        <x:v>enish</x:v>
      </x:c>
      <x:c r="C141" s="4" t="str">
        <x:v>S2</x:v>
      </x:c>
      <x:c r="D141" s="4" t="str">
        <x:v>https://www.enish.com/en/service/</x:v>
      </x:c>
    </x:row>
    <x:row r="142">
      <x:c r="A142" s="4" t="str">
        <x:v>SRC-141</x:v>
      </x:c>
      <x:c r="B142" s="4" t="str">
        <x:v>enish</x:v>
      </x:c>
      <x:c r="C142" s="4" t="str">
        <x:v>S3</x:v>
      </x:c>
      <x:c r="D142" s="4" t="str">
        <x:v>https://www.enish.com/en/ir/</x:v>
      </x:c>
    </x:row>
    <x:row r="143">
      <x:c r="A143" s="4" t="str">
        <x:v>SRC-142</x:v>
      </x:c>
      <x:c r="B143" s="4" t="str">
        <x:v>LINE Games</x:v>
      </x:c>
      <x:c r="C143" s="4" t="str">
        <x:v>S1</x:v>
      </x:c>
      <x:c r="D143" s="4" t="str">
        <x:v>https://line.games/en/</x:v>
      </x:c>
    </x:row>
    <x:row r="144">
      <x:c r="A144" s="4" t="str">
        <x:v>SRC-143</x:v>
      </x:c>
      <x:c r="B144" s="4" t="str">
        <x:v>LINE Games</x:v>
      </x:c>
      <x:c r="C144" s="4" t="str">
        <x:v>S2</x:v>
      </x:c>
      <x:c r="D144" s="4" t="str">
        <x:v>https://line.games/en/games</x:v>
      </x:c>
    </x:row>
    <x:row r="145">
      <x:c r="A145" s="4" t="str">
        <x:v>SRC-144</x:v>
      </x:c>
      <x:c r="B145" s="4" t="str">
        <x:v>LINE Games</x:v>
      </x:c>
      <x:c r="C145" s="4" t="str">
        <x:v>S3</x:v>
      </x:c>
      <x:c r="D145" s="4" t="str">
        <x:v>https://www.linkedin.com/company/line-games/</x:v>
      </x:c>
    </x:row>
    <x:row r="146">
      <x:c r="A146" s="4" t="str">
        <x:v>SRC-145</x:v>
      </x:c>
      <x:c r="B146" s="4" t="str">
        <x:v>QualiArts</x:v>
      </x:c>
      <x:c r="C146" s="4" t="str">
        <x:v>S1</x:v>
      </x:c>
      <x:c r="D146" s="4" t="str">
        <x:v>https://qualiarts.jp/</x:v>
      </x:c>
    </x:row>
    <x:row r="147">
      <x:c r="A147" s="4" t="str">
        <x:v>SRC-146</x:v>
      </x:c>
      <x:c r="B147" s="4" t="str">
        <x:v>QualiArts</x:v>
      </x:c>
      <x:c r="C147" s="4" t="str">
        <x:v>S2</x:v>
      </x:c>
      <x:c r="D147" s="4" t="str">
        <x:v>https://report.cyberagent.co.jp/en/game/</x:v>
      </x:c>
    </x:row>
    <x:row r="148">
      <x:c r="A148" s="4" t="str">
        <x:v>SRC-147</x:v>
      </x:c>
      <x:c r="B148" s="4" t="str">
        <x:v>QualiArts</x:v>
      </x:c>
      <x:c r="C148" s="4" t="str">
        <x:v>S3</x:v>
      </x:c>
      <x:c r="D148" s="4" t="str">
        <x:v>https://www.cyberagent.co.jp/en/</x:v>
      </x:c>
    </x:row>
    <x:row r="149">
      <x:c r="A149" s="4" t="str">
        <x:v>SRC-148</x:v>
      </x:c>
      <x:c r="B149" s="4" t="str">
        <x:v>Sumzap</x:v>
      </x:c>
      <x:c r="C149" s="4" t="str">
        <x:v>S1</x:v>
      </x:c>
      <x:c r="D149" s="4" t="str">
        <x:v>https://sumzap.co.jp/</x:v>
      </x:c>
    </x:row>
    <x:row r="150">
      <x:c r="A150" s="4" t="str">
        <x:v>SRC-149</x:v>
      </x:c>
      <x:c r="B150" s="4" t="str">
        <x:v>Sumzap</x:v>
      </x:c>
      <x:c r="C150" s="4" t="str">
        <x:v>S2</x:v>
      </x:c>
      <x:c r="D150" s="4" t="str">
        <x:v>https://report.cyberagent.co.jp/en/game/</x:v>
      </x:c>
    </x:row>
    <x:row r="151">
      <x:c r="A151" s="4" t="str">
        <x:v>SRC-150</x:v>
      </x:c>
      <x:c r="B151" s="4" t="str">
        <x:v>Sumzap</x:v>
      </x:c>
      <x:c r="C151" s="4" t="str">
        <x:v>S3</x:v>
      </x:c>
      <x:c r="D151" s="4" t="str">
        <x:v>https://www.cyberagent.co.jp/en/</x:v>
      </x:c>
    </x:row>
    <x:row r="152">
      <x:c r="A152" s="4" t="str">
        <x:v>SRC-151</x:v>
      </x:c>
      <x:c r="B152" s="4" t="str">
        <x:v>JOYCITY</x:v>
      </x:c>
      <x:c r="C152" s="4" t="str">
        <x:v>S1</x:v>
      </x:c>
      <x:c r="D152" s="4" t="str">
        <x:v>https://joycity.com/en/</x:v>
      </x:c>
    </x:row>
    <x:row r="153">
      <x:c r="A153" s="4" t="str">
        <x:v>SRC-152</x:v>
      </x:c>
      <x:c r="B153" s="4" t="str">
        <x:v>JOYCITY</x:v>
      </x:c>
      <x:c r="C153" s="4" t="str">
        <x:v>S2</x:v>
      </x:c>
      <x:c r="D153" s="4" t="str">
        <x:v>https://joycity.com/en/games</x:v>
      </x:c>
    </x:row>
    <x:row r="154">
      <x:c r="A154" s="4" t="str">
        <x:v>SRC-153</x:v>
      </x:c>
      <x:c r="B154" s="4" t="str">
        <x:v>JOYCITY</x:v>
      </x:c>
      <x:c r="C154" s="4" t="str">
        <x:v>S3</x:v>
      </x:c>
      <x:c r="D154" s="4" t="str">
        <x:v>https://joycity.com/en/ir</x:v>
      </x:c>
    </x:row>
    <x:row r="155">
      <x:c r="A155" s="4" t="str">
        <x:v>SRC-154</x:v>
      </x:c>
      <x:c r="B155" s="4" t="str">
        <x:v>Aiming</x:v>
      </x:c>
      <x:c r="C155" s="4" t="str">
        <x:v>S1</x:v>
      </x:c>
      <x:c r="D155" s="4" t="str">
        <x:v>https://aiming-inc.com/en/</x:v>
      </x:c>
    </x:row>
    <x:row r="156">
      <x:c r="A156" s="4" t="str">
        <x:v>SRC-155</x:v>
      </x:c>
      <x:c r="B156" s="4" t="str">
        <x:v>Aiming</x:v>
      </x:c>
      <x:c r="C156" s="4" t="str">
        <x:v>S2</x:v>
      </x:c>
      <x:c r="D156" s="4" t="str">
        <x:v>https://aiming-inc.com/en/service/</x:v>
      </x:c>
    </x:row>
    <x:row r="157">
      <x:c r="A157" s="4" t="str">
        <x:v>SRC-156</x:v>
      </x:c>
      <x:c r="B157" s="4" t="str">
        <x:v>Aiming</x:v>
      </x:c>
      <x:c r="C157" s="4" t="str">
        <x:v>S3</x:v>
      </x:c>
      <x:c r="D157" s="4" t="str">
        <x:v>https://aiming-inc.com/en/ir/</x:v>
      </x:c>
    </x:row>
    <x:row r="158">
      <x:c r="A158" s="4" t="str">
        <x:v>SRC-157</x:v>
      </x:c>
      <x:c r="B158" s="4" t="str">
        <x:v>Mynet</x:v>
      </x:c>
      <x:c r="C158" s="4" t="str">
        <x:v>S1</x:v>
      </x:c>
      <x:c r="D158" s="4" t="str">
        <x:v>https://mynet.co.jp/en/</x:v>
      </x:c>
    </x:row>
    <x:row r="159">
      <x:c r="A159" s="4" t="str">
        <x:v>SRC-158</x:v>
      </x:c>
      <x:c r="B159" s="4" t="str">
        <x:v>Mynet</x:v>
      </x:c>
      <x:c r="C159" s="4" t="str">
        <x:v>S2</x:v>
      </x:c>
      <x:c r="D159" s="4" t="str">
        <x:v>https://mynet.co.jp/en/service/</x:v>
      </x:c>
    </x:row>
    <x:row r="160">
      <x:c r="A160" s="4" t="str">
        <x:v>SRC-159</x:v>
      </x:c>
      <x:c r="B160" s="4" t="str">
        <x:v>Mynet</x:v>
      </x:c>
      <x:c r="C160" s="4" t="str">
        <x:v>S3</x:v>
      </x:c>
      <x:c r="D160" s="4" t="str">
        <x:v>https://mynet.co.jp/en/ir/</x:v>
      </x:c>
    </x:row>
    <x:row r="161">
      <x:c r="A161" s="4" t="str">
        <x:v>SRC-160</x:v>
      </x:c>
      <x:c r="B161" s="4" t="str">
        <x:v>SHIFT UP</x:v>
      </x:c>
      <x:c r="C161" s="4" t="str">
        <x:v>S1</x:v>
      </x:c>
      <x:c r="D161" s="4" t="str">
        <x:v>https://shiftup.co.kr/eng/</x:v>
      </x:c>
    </x:row>
    <x:row r="162">
      <x:c r="A162" s="4" t="str">
        <x:v>SRC-161</x:v>
      </x:c>
      <x:c r="B162" s="4" t="str">
        <x:v>SHIFT UP</x:v>
      </x:c>
      <x:c r="C162" s="4" t="str">
        <x:v>S2</x:v>
      </x:c>
      <x:c r="D162" s="4" t="str">
        <x:v>https://shiftup.co.kr/eng/games/</x:v>
      </x:c>
    </x:row>
    <x:row r="163">
      <x:c r="A163" s="4" t="str">
        <x:v>SRC-162</x:v>
      </x:c>
      <x:c r="B163" s="4" t="str">
        <x:v>SHIFT UP</x:v>
      </x:c>
      <x:c r="C163" s="4" t="str">
        <x:v>S3</x:v>
      </x:c>
      <x:c r="D163" s="4" t="str">
        <x:v>https://shiftup.co.kr/eng/ir/</x:v>
      </x:c>
    </x:row>
    <x:row r="164">
      <x:c r="A164" s="4" t="str">
        <x:v>SRC-163</x:v>
      </x:c>
      <x:c r="B164" s="4" t="str">
        <x:v>Super Planet</x:v>
      </x:c>
      <x:c r="C164" s="4" t="str">
        <x:v>S1</x:v>
      </x:c>
      <x:c r="D164" s="4" t="str">
        <x:v>https://superplanet.co.kr/en</x:v>
      </x:c>
    </x:row>
    <x:row r="165">
      <x:c r="A165" s="4" t="str">
        <x:v>SRC-164</x:v>
      </x:c>
      <x:c r="B165" s="4" t="str">
        <x:v>Super Planet</x:v>
      </x:c>
      <x:c r="C165" s="4" t="str">
        <x:v>S2</x:v>
      </x:c>
      <x:c r="D165" s="4" t="str">
        <x:v>https://superplanet.co.kr/en/games</x:v>
      </x:c>
    </x:row>
    <x:row r="166">
      <x:c r="A166" s="4" t="str">
        <x:v>SRC-165</x:v>
      </x:c>
      <x:c r="B166" s="4" t="str">
        <x:v>Super Planet</x:v>
      </x:c>
      <x:c r="C166" s="4" t="str">
        <x:v>S3</x:v>
      </x:c>
      <x:c r="D166" s="4" t="str">
        <x:v>https://www.linkedin.com/company/superplanet/</x:v>
      </x:c>
    </x:row>
    <x:row r="167">
      <x:c r="A167" s="4" t="str">
        <x:v>SRC-166</x:v>
      </x:c>
      <x:c r="B167" s="4" t="str">
        <x:v>AltPlus</x:v>
      </x:c>
      <x:c r="C167" s="4" t="str">
        <x:v>S1</x:v>
      </x:c>
      <x:c r="D167" s="4" t="str">
        <x:v>https://www.altplus.co.jp/en/</x:v>
      </x:c>
    </x:row>
    <x:row r="168">
      <x:c r="A168" s="4" t="str">
        <x:v>SRC-167</x:v>
      </x:c>
      <x:c r="B168" s="4" t="str">
        <x:v>AltPlus</x:v>
      </x:c>
      <x:c r="C168" s="4" t="str">
        <x:v>S2</x:v>
      </x:c>
      <x:c r="D168" s="4" t="str">
        <x:v>https://www.altplus.co.jp/en/service/</x:v>
      </x:c>
    </x:row>
    <x:row r="169">
      <x:c r="A169" s="4" t="str">
        <x:v>SRC-168</x:v>
      </x:c>
      <x:c r="B169" s="4" t="str">
        <x:v>AltPlus</x:v>
      </x:c>
      <x:c r="C169" s="4" t="str">
        <x:v>S3</x:v>
      </x:c>
      <x:c r="D169" s="4" t="str">
        <x:v>https://www.altplus.co.jp/en/ir/</x:v>
      </x:c>
    </x:row>
    <x:row r="170">
      <x:c r="A170" s="4" t="str">
        <x:v>SRC-169</x:v>
      </x:c>
      <x:c r="B170" s="4" t="str">
        <x:v>Appirits</x:v>
      </x:c>
      <x:c r="C170" s="4" t="str">
        <x:v>S1</x:v>
      </x:c>
      <x:c r="D170" s="4" t="str">
        <x:v>https://appirits.com/</x:v>
      </x:c>
    </x:row>
    <x:row r="171">
      <x:c r="A171" s="4" t="str">
        <x:v>SRC-170</x:v>
      </x:c>
      <x:c r="B171" s="4" t="str">
        <x:v>Appirits</x:v>
      </x:c>
      <x:c r="C171" s="4" t="str">
        <x:v>S2</x:v>
      </x:c>
      <x:c r="D171" s="4" t="str">
        <x:v>https://appirits.com/service/game/</x:v>
      </x:c>
    </x:row>
    <x:row r="172">
      <x:c r="A172" s="4" t="str">
        <x:v>SRC-171</x:v>
      </x:c>
      <x:c r="B172" s="4" t="str">
        <x:v>Appirits</x:v>
      </x:c>
      <x:c r="C172" s="4" t="str">
        <x:v>S3</x:v>
      </x:c>
      <x:c r="D172" s="4" t="str">
        <x:v>https://www.appirits.co.jp/ir/</x:v>
      </x:c>
    </x:row>
    <x:row r="173">
      <x:c r="A173" s="4" t="str">
        <x:v>SRC-172</x:v>
      </x:c>
      <x:c r="B173" s="4" t="str">
        <x:v>Bank of Innovation</x:v>
      </x:c>
      <x:c r="C173" s="4" t="str">
        <x:v>S1</x:v>
      </x:c>
      <x:c r="D173" s="4" t="str">
        <x:v>https://boi.jp/en/</x:v>
      </x:c>
    </x:row>
    <x:row r="174">
      <x:c r="A174" s="4" t="str">
        <x:v>SRC-173</x:v>
      </x:c>
      <x:c r="B174" s="4" t="str">
        <x:v>Bank of Innovation</x:v>
      </x:c>
      <x:c r="C174" s="4" t="str">
        <x:v>S2</x:v>
      </x:c>
      <x:c r="D174" s="4" t="str">
        <x:v>https://boi.jp/en/service/</x:v>
      </x:c>
    </x:row>
    <x:row r="175">
      <x:c r="A175" s="4" t="str">
        <x:v>SRC-174</x:v>
      </x:c>
      <x:c r="B175" s="4" t="str">
        <x:v>Bank of Innovation</x:v>
      </x:c>
      <x:c r="C175" s="4" t="str">
        <x:v>S3</x:v>
      </x:c>
      <x:c r="D175" s="4" t="str">
        <x:v>https://boi.jp/en/ir/</x:v>
      </x:c>
    </x:row>
    <x:row r="176">
      <x:c r="A176" s="4" t="str">
        <x:v>SRC-175</x:v>
      </x:c>
      <x:c r="B176" s="4" t="str">
        <x:v>EXNOA / DMM GAMES</x:v>
      </x:c>
      <x:c r="C176" s="4" t="str">
        <x:v>S1</x:v>
      </x:c>
      <x:c r="D176" s="4" t="str">
        <x:v>https://games.dmm.com/</x:v>
      </x:c>
    </x:row>
    <x:row r="177">
      <x:c r="A177" s="4" t="str">
        <x:v>SRC-176</x:v>
      </x:c>
      <x:c r="B177" s="4" t="str">
        <x:v>EXNOA / DMM GAMES</x:v>
      </x:c>
      <x:c r="C177" s="4" t="str">
        <x:v>S2</x:v>
      </x:c>
      <x:c r="D177" s="4" t="str">
        <x:v>https://dmm-corp.com/company/</x:v>
      </x:c>
    </x:row>
    <x:row r="178">
      <x:c r="A178" s="4" t="str">
        <x:v>SRC-177</x:v>
      </x:c>
      <x:c r="B178" s="4" t="str">
        <x:v>EXNOA / DMM GAMES</x:v>
      </x:c>
      <x:c r="C178" s="4" t="str">
        <x:v>S3</x:v>
      </x:c>
      <x:c r="D178" s="4" t="str">
        <x:v>https://dmm-corp.com/business/</x:v>
      </x:c>
    </x:row>
    <x:row r="179">
      <x:c r="A179" s="4" t="str">
        <x:v>SRC-178</x:v>
      </x:c>
      <x:c r="B179" s="4" t="str">
        <x:v>Yostar Japan</x:v>
      </x:c>
      <x:c r="C179" s="4" t="str">
        <x:v>S1</x:v>
      </x:c>
      <x:c r="D179" s="4" t="str">
        <x:v>https://www.yostar.co.jp/</x:v>
      </x:c>
    </x:row>
    <x:row r="180">
      <x:c r="A180" s="4" t="str">
        <x:v>SRC-179</x:v>
      </x:c>
      <x:c r="B180" s="4" t="str">
        <x:v>Yostar Japan</x:v>
      </x:c>
      <x:c r="C180" s="4" t="str">
        <x:v>S2</x:v>
      </x:c>
      <x:c r="D180" s="4" t="str">
        <x:v>https://www.yostar.co.jp/games/</x:v>
      </x:c>
    </x:row>
    <x:row r="181">
      <x:c r="A181" s="4" t="str">
        <x:v>SRC-180</x:v>
      </x:c>
      <x:c r="B181" s="4" t="str">
        <x:v>Yostar Japan</x:v>
      </x:c>
      <x:c r="C181" s="4" t="str">
        <x:v>S3</x:v>
      </x:c>
      <x:c r="D181" s="4" t="str">
        <x:v>https://www.linkedin.com/company/yostar/</x:v>
      </x:c>
    </x:row>
    <x:row r="182">
      <x:c r="A182" s="4" t="str">
        <x:v>SRC-181</x:v>
      </x:c>
      <x:c r="B182" s="4" t="str">
        <x:v>LoadComplete</x:v>
      </x:c>
      <x:c r="C182" s="4" t="str">
        <x:v>S1</x:v>
      </x:c>
      <x:c r="D182" s="4" t="str">
        <x:v>https://loadcomplete.com/</x:v>
      </x:c>
    </x:row>
    <x:row r="183">
      <x:c r="A183" s="4" t="str">
        <x:v>SRC-182</x:v>
      </x:c>
      <x:c r="B183" s="4" t="str">
        <x:v>LoadComplete</x:v>
      </x:c>
      <x:c r="C183" s="4" t="str">
        <x:v>S2</x:v>
      </x:c>
      <x:c r="D183" s="4" t="str">
        <x:v>https://loadcomplete.com/games</x:v>
      </x:c>
    </x:row>
    <x:row r="184">
      <x:c r="A184" s="4" t="str">
        <x:v>SRC-183</x:v>
      </x:c>
      <x:c r="B184" s="4" t="str">
        <x:v>LoadComplete</x:v>
      </x:c>
      <x:c r="C184" s="4" t="str">
        <x:v>S3</x:v>
      </x:c>
      <x:c r="D184" s="4" t="str">
        <x:v>https://www.linkedin.com/company/loadcomplete/</x:v>
      </x:c>
    </x:row>
    <x:row r="185">
      <x:c r="A185" s="4" t="str">
        <x:v>SRC-184</x:v>
      </x:c>
      <x:c r="B185" s="4" t="str">
        <x:v>NPIXEL</x:v>
      </x:c>
      <x:c r="C185" s="4" t="str">
        <x:v>S1</x:v>
      </x:c>
      <x:c r="D185" s="4" t="str">
        <x:v>https://npixel.co.kr/en</x:v>
      </x:c>
    </x:row>
    <x:row r="186">
      <x:c r="A186" s="4" t="str">
        <x:v>SRC-185</x:v>
      </x:c>
      <x:c r="B186" s="4" t="str">
        <x:v>NPIXEL</x:v>
      </x:c>
      <x:c r="C186" s="4" t="str">
        <x:v>S2</x:v>
      </x:c>
      <x:c r="D186" s="4" t="str">
        <x:v>https://npixel.co.kr/en/games</x:v>
      </x:c>
    </x:row>
    <x:row r="187">
      <x:c r="A187" s="4" t="str">
        <x:v>SRC-186</x:v>
      </x:c>
      <x:c r="B187" s="4" t="str">
        <x:v>NPIXEL</x:v>
      </x:c>
      <x:c r="C187" s="4" t="str">
        <x:v>S3</x:v>
      </x:c>
      <x:c r="D187" s="4" t="str">
        <x:v>https://www.linkedin.com/company/npixel/</x:v>
      </x:c>
    </x:row>
    <x:row r="188">
      <x:c r="A188" s="4" t="str">
        <x:v>SRC-187</x:v>
      </x:c>
      <x:c r="B188" s="4" t="str">
        <x:v>CYBIRD</x:v>
      </x:c>
      <x:c r="C188" s="4" t="str">
        <x:v>S1</x:v>
      </x:c>
      <x:c r="D188" s="4" t="str">
        <x:v>https://www.cybird.co.jp/en/</x:v>
      </x:c>
    </x:row>
    <x:row r="189">
      <x:c r="A189" s="4" t="str">
        <x:v>SRC-188</x:v>
      </x:c>
      <x:c r="B189" s="4" t="str">
        <x:v>CYBIRD</x:v>
      </x:c>
      <x:c r="C189" s="4" t="str">
        <x:v>S2</x:v>
      </x:c>
      <x:c r="D189" s="4" t="str">
        <x:v>https://www.cybird.co.jp/en/service/</x:v>
      </x:c>
    </x:row>
    <x:row r="190">
      <x:c r="A190" s="4" t="str">
        <x:v>SRC-189</x:v>
      </x:c>
      <x:c r="B190" s="4" t="str">
        <x:v>CYBIRD</x:v>
      </x:c>
      <x:c r="C190" s="4" t="str">
        <x:v>S3</x:v>
      </x:c>
      <x:c r="D190" s="4" t="str">
        <x:v>https://www.cybird.co.jp/en/company/</x:v>
      </x:c>
    </x:row>
    <x:row r="191">
      <x:c r="A191" s="4" t="str">
        <x:v>SRC-190</x:v>
      </x:c>
      <x:c r="B191" s="4" t="str">
        <x:v>DONUTS</x:v>
      </x:c>
      <x:c r="C191" s="4" t="str">
        <x:v>S1</x:v>
      </x:c>
      <x:c r="D191" s="4" t="str">
        <x:v>https://www.donuts.ne.jp/</x:v>
      </x:c>
    </x:row>
    <x:row r="192">
      <x:c r="A192" s="4" t="str">
        <x:v>SRC-191</x:v>
      </x:c>
      <x:c r="B192" s="4" t="str">
        <x:v>DONUTS</x:v>
      </x:c>
      <x:c r="C192" s="4" t="str">
        <x:v>S2</x:v>
      </x:c>
      <x:c r="D192" s="4" t="str">
        <x:v>https://www.donuts.ne.jp/products/</x:v>
      </x:c>
    </x:row>
    <x:row r="193">
      <x:c r="A193" s="4" t="str">
        <x:v>SRC-192</x:v>
      </x:c>
      <x:c r="B193" s="4" t="str">
        <x:v>DONUTS</x:v>
      </x:c>
      <x:c r="C193" s="4" t="str">
        <x:v>S3</x:v>
      </x:c>
      <x:c r="D193" s="4" t="str">
        <x:v>https://www.donuts.ne.jp/company/</x:v>
      </x:c>
    </x:row>
    <x:row r="194">
      <x:c r="A194" s="4" t="str">
        <x:v>SRC-193</x:v>
      </x:c>
      <x:c r="B194" s="4" t="str">
        <x:v>WonderPlanet</x:v>
      </x:c>
      <x:c r="C194" s="4" t="str">
        <x:v>S1</x:v>
      </x:c>
      <x:c r="D194" s="4" t="str">
        <x:v>https://wonderpla.net/en/</x:v>
      </x:c>
    </x:row>
    <x:row r="195">
      <x:c r="A195" s="4" t="str">
        <x:v>SRC-194</x:v>
      </x:c>
      <x:c r="B195" s="4" t="str">
        <x:v>WonderPlanet</x:v>
      </x:c>
      <x:c r="C195" s="4" t="str">
        <x:v>S2</x:v>
      </x:c>
      <x:c r="D195" s="4" t="str">
        <x:v>https://wonderpla.net/en/service/</x:v>
      </x:c>
    </x:row>
    <x:row r="196">
      <x:c r="A196" s="4" t="str">
        <x:v>SRC-195</x:v>
      </x:c>
      <x:c r="B196" s="4" t="str">
        <x:v>WonderPlanet</x:v>
      </x:c>
      <x:c r="C196" s="4" t="str">
        <x:v>S3</x:v>
      </x:c>
      <x:c r="D196" s="4" t="str">
        <x:v>https://wonderpla.net/en/ir/</x:v>
      </x:c>
    </x:row>
    <x:row r="197">
      <x:c r="A197" s="4" t="str">
        <x:v>SRC-196</x:v>
      </x:c>
      <x:c r="B197" s="4" t="str">
        <x:v>AlohaFactory</x:v>
      </x:c>
      <x:c r="C197" s="4" t="str">
        <x:v>S1</x:v>
      </x:c>
      <x:c r="D197" s="4" t="str">
        <x:v>https://alohafactory.co.kr/</x:v>
      </x:c>
    </x:row>
    <x:row r="198">
      <x:c r="A198" s="4" t="str">
        <x:v>SRC-197</x:v>
      </x:c>
      <x:c r="B198" s="4" t="str">
        <x:v>AlohaFactory</x:v>
      </x:c>
      <x:c r="C198" s="4" t="str">
        <x:v>S2</x:v>
      </x:c>
      <x:c r="D198" s="4" t="str">
        <x:v>https://partners.koreainvestment.com/file/download/media/1954364541_SWVExvYU_091564f527ea0b09bc3a9f5ae05e755b198e303d.pdf</x:v>
      </x:c>
    </x:row>
    <x:row r="199">
      <x:c r="A199" s="4" t="str">
        <x:v>SRC-198</x:v>
      </x:c>
      <x:c r="B199" s="4" t="str">
        <x:v>AlohaFactory</x:v>
      </x:c>
      <x:c r="C199" s="4" t="str">
        <x:v>S3</x:v>
      </x:c>
      <x:c r="D199" s="4" t="str">
        <x:v>https://www.linkedin.com/company/aloha-factory/</x:v>
      </x:c>
    </x:row>
    <x:row r="200">
      <x:c r="A200" s="4" t="str">
        <x:v>SRC-199</x:v>
      </x:c>
      <x:c r="B200" s="4" t="str">
        <x:v>Dreamplay Games</x:v>
      </x:c>
      <x:c r="C200" s="4" t="str">
        <x:v>S1</x:v>
      </x:c>
      <x:c r="D200" s="4" t="str">
        <x:v>https://dreamplaygames.co.kr/</x:v>
      </x:c>
    </x:row>
    <x:row r="201">
      <x:c r="A201" s="4" t="str">
        <x:v>SRC-200</x:v>
      </x:c>
      <x:c r="B201" s="4" t="str">
        <x:v>Dreamplay Games</x:v>
      </x:c>
      <x:c r="C201" s="4" t="str">
        <x:v>S2</x:v>
      </x:c>
      <x:c r="D201" s="4" t="str">
        <x:v>https://play.google.com/store/apps/dev?id=Dreamplay+Games</x:v>
      </x:c>
    </x:row>
    <x:row r="202">
      <x:c r="A202" s="4" t="str">
        <x:v>SRC-201</x:v>
      </x:c>
      <x:c r="B202" s="4" t="str">
        <x:v>Dreamplay Games</x:v>
      </x:c>
      <x:c r="C202" s="4" t="str">
        <x:v>S3</x:v>
      </x:c>
      <x:c r="D202" s="4" t="str">
        <x:v>https://www.linkedin.com/company/dreamplaygames/</x:v>
      </x:c>
    </x:row>
    <x:row r="203">
      <x:c r="A203" s="4" t="str">
        <x:v>SRC-202</x:v>
      </x:c>
      <x:c r="B203" s="4" t="str">
        <x:v>Edia</x:v>
      </x:c>
      <x:c r="C203" s="4" t="str">
        <x:v>S1</x:v>
      </x:c>
      <x:c r="D203" s="4" t="str">
        <x:v>https://edia.co.jp/</x:v>
      </x:c>
    </x:row>
    <x:row r="204">
      <x:c r="A204" s="4" t="str">
        <x:v>SRC-203</x:v>
      </x:c>
      <x:c r="B204" s="4" t="str">
        <x:v>Edia</x:v>
      </x:c>
      <x:c r="C204" s="4" t="str">
        <x:v>S2</x:v>
      </x:c>
      <x:c r="D204" s="4" t="str">
        <x:v>https://edia.co.jp/business/</x:v>
      </x:c>
    </x:row>
    <x:row r="205">
      <x:c r="A205" s="4" t="str">
        <x:v>SRC-204</x:v>
      </x:c>
      <x:c r="B205" s="4" t="str">
        <x:v>Edia</x:v>
      </x:c>
      <x:c r="C205" s="4" t="str">
        <x:v>S3</x:v>
      </x:c>
      <x:c r="D205" s="4" t="str">
        <x:v>https://edia.co.jp/ir/</x:v>
      </x:c>
    </x:row>
    <x:row r="206">
      <x:c r="A206" s="4" t="str">
        <x:v>SRC-205</x:v>
      </x:c>
      <x:c r="B206" s="4" t="str">
        <x:v>SESISOFT</x:v>
      </x:c>
      <x:c r="C206" s="4" t="str">
        <x:v>S1</x:v>
      </x:c>
      <x:c r="D206" s="4" t="str">
        <x:v>https://www.sesisoft.com/</x:v>
      </x:c>
    </x:row>
    <x:row r="207">
      <x:c r="A207" s="4" t="str">
        <x:v>SRC-206</x:v>
      </x:c>
      <x:c r="B207" s="4" t="str">
        <x:v>SESISOFT</x:v>
      </x:c>
      <x:c r="C207" s="4" t="str">
        <x:v>S2</x:v>
      </x:c>
      <x:c r="D207" s="4" t="str">
        <x:v>https://www.linkedin.com/company/sesisoft/</x:v>
      </x:c>
    </x:row>
    <x:row r="208">
      <x:c r="A208" s="4" t="str">
        <x:v>SRC-207</x:v>
      </x:c>
      <x:c r="B208" s="4" t="str">
        <x:v>SESISOFT</x:v>
      </x:c>
      <x:c r="C208" s="4" t="str">
        <x:v>S3</x:v>
      </x:c>
      <x:c r="D208" s="4" t="str">
        <x:v>https://www.sesisoft.com/contact</x:v>
      </x:c>
    </x:row>
    <x:row r="209">
      <x:c r="A209" s="4" t="str">
        <x:v>SRC-208</x:v>
      </x:c>
      <x:c r="B209" s="4" t="str">
        <x:v>TakeOne Company</x:v>
      </x:c>
      <x:c r="C209" s="4" t="str">
        <x:v>S1</x:v>
      </x:c>
      <x:c r="D209" s="4" t="str">
        <x:v>https://www.takeonecompany.com/</x:v>
      </x:c>
    </x:row>
    <x:row r="210">
      <x:c r="A210" s="4" t="str">
        <x:v>SRC-209</x:v>
      </x:c>
      <x:c r="B210" s="4" t="str">
        <x:v>TakeOne Company</x:v>
      </x:c>
      <x:c r="C210" s="4" t="str">
        <x:v>S2</x:v>
      </x:c>
      <x:c r="D210" s="4" t="str">
        <x:v>https://www.takeonecompany.com/business</x:v>
      </x:c>
    </x:row>
    <x:row r="211">
      <x:c r="A211" s="4" t="str">
        <x:v>SRC-210</x:v>
      </x:c>
      <x:c r="B211" s="4" t="str">
        <x:v>TakeOne Company</x:v>
      </x:c>
      <x:c r="C211" s="4" t="str">
        <x:v>S3</x:v>
      </x:c>
      <x:c r="D211" s="4" t="str">
        <x:v>https://www.linkedin.com/company/takeonecompany/</x:v>
      </x:c>
    </x:row>
    <x:row r="212">
      <x:c r="A212" s="4" t="str">
        <x:v>SRC-211</x:v>
      </x:c>
      <x:c r="B212" s="4" t="str">
        <x:v>Voltage</x:v>
      </x:c>
      <x:c r="C212" s="4" t="str">
        <x:v>S1</x:v>
      </x:c>
      <x:c r="D212" s="4" t="str">
        <x:v>https://www.voltage.co.jp/en/</x:v>
      </x:c>
    </x:row>
    <x:row r="213">
      <x:c r="A213" s="4" t="str">
        <x:v>SRC-212</x:v>
      </x:c>
      <x:c r="B213" s="4" t="str">
        <x:v>Voltage</x:v>
      </x:c>
      <x:c r="C213" s="4" t="str">
        <x:v>S2</x:v>
      </x:c>
      <x:c r="D213" s="4" t="str">
        <x:v>https://www.voltage.co.jp/en/apps/</x:v>
      </x:c>
    </x:row>
    <x:row r="214">
      <x:c r="A214" s="4" t="str">
        <x:v>SRC-213</x:v>
      </x:c>
      <x:c r="B214" s="4" t="str">
        <x:v>Voltage</x:v>
      </x:c>
      <x:c r="C214" s="4" t="str">
        <x:v>S3</x:v>
      </x:c>
      <x:c r="D214" s="4" t="str">
        <x:v>https://www.voltage.co.jp/en/ir/</x:v>
      </x:c>
    </x:row>
    <x:row r="215">
      <x:c r="A215" s="4" t="str">
        <x:v>SRC-214</x:v>
      </x:c>
      <x:c r="B215" s="4" t="str">
        <x:v>4:33 Creative Lab</x:v>
      </x:c>
      <x:c r="C215" s="4" t="str">
        <x:v>S1</x:v>
      </x:c>
      <x:c r="D215" s="4" t="str">
        <x:v>http://www.433.co.kr/</x:v>
      </x:c>
    </x:row>
    <x:row r="216">
      <x:c r="A216" s="4" t="str">
        <x:v>SRC-215</x:v>
      </x:c>
      <x:c r="B216" s="4" t="str">
        <x:v>4:33 Creative Lab</x:v>
      </x:c>
      <x:c r="C216" s="4" t="str">
        <x:v>S2</x:v>
      </x:c>
      <x:c r="D216" s="4" t="str">
        <x:v>https://www.linkedin.com/company/4-33-creative-lab/</x:v>
      </x:c>
    </x:row>
    <x:row r="217">
      <x:c r="A217" s="4" t="str">
        <x:v>SRC-216</x:v>
      </x:c>
      <x:c r="B217" s="4" t="str">
        <x:v>4:33 Creative Lab</x:v>
      </x:c>
      <x:c r="C217" s="4" t="str">
        <x:v>S3</x:v>
      </x:c>
      <x:c r="D217" s="4" t="str">
        <x:v>https://www.mobygames.com/company/45418/433-creative-lab/</x:v>
      </x:c>
    </x:row>
    <x:row r="218">
      <x:c r="A218" s="4" t="str">
        <x:v>SRC-217</x:v>
      </x:c>
      <x:c r="B218" s="4" t="str">
        <x:v>StickyHands</x:v>
      </x:c>
      <x:c r="C218" s="4" t="str">
        <x:v>S1</x:v>
      </x:c>
      <x:c r="D218" s="4" t="str">
        <x:v>https://stickyhands.kr/</x:v>
      </x:c>
    </x:row>
    <x:row r="219">
      <x:c r="A219" s="4" t="str">
        <x:v>SRC-218</x:v>
      </x:c>
      <x:c r="B219" s="4" t="str">
        <x:v>StickyHands</x:v>
      </x:c>
      <x:c r="C219" s="4" t="str">
        <x:v>S2</x:v>
      </x:c>
      <x:c r="D219" s="4" t="str">
        <x:v>https://play.google.com/store/apps/dev?id=StickyHands+Inc.</x:v>
      </x:c>
    </x:row>
    <x:row r="220">
      <x:c r="A220" s="4" t="str">
        <x:v>SRC-219</x:v>
      </x:c>
      <x:c r="B220" s="4" t="str">
        <x:v>StickyHands</x:v>
      </x:c>
      <x:c r="C220" s="4" t="str">
        <x:v>S3</x:v>
      </x:c>
      <x:c r="D220" s="4" t="str">
        <x:v>https://www.linkedin.com/company/stickyhands/</x:v>
      </x:c>
    </x:row>
    <x:row r="221">
      <x:c r="A221" s="4" t="str">
        <x:v>SRC-220</x:v>
      </x:c>
      <x:c r="B221" s="4" t="str">
        <x:v>Asobimo</x:v>
      </x:c>
      <x:c r="C221" s="4" t="str">
        <x:v>S1</x:v>
      </x:c>
      <x:c r="D221" s="4" t="str">
        <x:v>https://asobimo.com/en/</x:v>
      </x:c>
    </x:row>
    <x:row r="222">
      <x:c r="A222" s="4" t="str">
        <x:v>SRC-221</x:v>
      </x:c>
      <x:c r="B222" s="4" t="str">
        <x:v>Asobimo</x:v>
      </x:c>
      <x:c r="C222" s="4" t="str">
        <x:v>S2</x:v>
      </x:c>
      <x:c r="D222" s="4" t="str">
        <x:v>https://asobimo.com/en/games/</x:v>
      </x:c>
    </x:row>
    <x:row r="223">
      <x:c r="A223" s="4" t="str">
        <x:v>SRC-222</x:v>
      </x:c>
      <x:c r="B223" s="4" t="str">
        <x:v>Asobimo</x:v>
      </x:c>
      <x:c r="C223" s="4" t="str">
        <x:v>S3</x:v>
      </x:c>
      <x:c r="D223" s="4" t="str">
        <x:v>https://asobimo.com/en/company/</x:v>
      </x:c>
    </x:row>
    <x:row r="224">
      <x:c r="A224" s="4" t="str">
        <x:v>SRC-223</x:v>
      </x:c>
      <x:c r="B224" s="4" t="str">
        <x:v>ThumbAge</x:v>
      </x:c>
      <x:c r="C224" s="4" t="str">
        <x:v>S1</x:v>
      </x:c>
      <x:c r="D224" s="4" t="str">
        <x:v>https://www.thumbage.co.kr/</x:v>
      </x:c>
    </x:row>
    <x:row r="225">
      <x:c r="A225" s="4" t="str">
        <x:v>SRC-224</x:v>
      </x:c>
      <x:c r="B225" s="4" t="str">
        <x:v>ThumbAge</x:v>
      </x:c>
      <x:c r="C225" s="4" t="str">
        <x:v>S2</x:v>
      </x:c>
      <x:c r="D225" s="4" t="str">
        <x:v>https://www.thumbage.co.kr/ir</x:v>
      </x:c>
    </x:row>
    <x:row r="226">
      <x:c r="A226" s="4" t="str">
        <x:v>SRC-225</x:v>
      </x:c>
      <x:c r="B226" s="4" t="str">
        <x:v>ThumbAge</x:v>
      </x:c>
      <x:c r="C226" s="4" t="str">
        <x:v>S3</x:v>
      </x:c>
      <x:c r="D226" s="4" t="str">
        <x:v>https://www.mobygames.com/company/10560/thumbage-co-ltd/</x:v>
      </x:c>
    </x:row>
    <x:row r="227">
      <x:c r="A227" s="4" t="str">
        <x:v>SRC-226</x:v>
      </x:c>
      <x:c r="B227" s="4" t="str">
        <x:v>Wemade Max</x:v>
      </x:c>
      <x:c r="C227" s="4" t="str">
        <x:v>S1</x:v>
      </x:c>
      <x:c r="D227" s="4" t="str">
        <x:v>https://www.wemademax.com/</x:v>
      </x:c>
    </x:row>
    <x:row r="228">
      <x:c r="A228" s="4" t="str">
        <x:v>SRC-227</x:v>
      </x:c>
      <x:c r="B228" s="4" t="str">
        <x:v>Wemade Max</x:v>
      </x:c>
      <x:c r="C228" s="4" t="str">
        <x:v>S2</x:v>
      </x:c>
      <x:c r="D228" s="4" t="str">
        <x:v>https://www.wemade.com/en</x:v>
      </x:c>
    </x:row>
    <x:row r="229">
      <x:c r="A229" s="4" t="str">
        <x:v>SRC-228</x:v>
      </x:c>
      <x:c r="B229" s="4" t="str">
        <x:v>Wemade Max</x:v>
      </x:c>
      <x:c r="C229" s="4" t="str">
        <x:v>S3</x:v>
      </x:c>
      <x:c r="D229" s="4" t="str">
        <x:v>https://www.wemade.com/en/company/affiliates</x:v>
      </x:c>
    </x:row>
    <x:row r="230">
      <x:c r="A230" s="4" t="str">
        <x:v>SRC-229</x:v>
      </x:c>
      <x:c r="B230" s="4" t="str">
        <x:v>HanbitSoft</x:v>
      </x:c>
      <x:c r="C230" s="4" t="str">
        <x:v>S1</x:v>
      </x:c>
      <x:c r="D230" s="4" t="str">
        <x:v>https://www.hanbitsoft.co.kr/</x:v>
      </x:c>
    </x:row>
    <x:row r="231">
      <x:c r="A231" s="4" t="str">
        <x:v>SRC-230</x:v>
      </x:c>
      <x:c r="B231" s="4" t="str">
        <x:v>HanbitSoft</x:v>
      </x:c>
      <x:c r="C231" s="4" t="str">
        <x:v>S2</x:v>
      </x:c>
      <x:c r="D231" s="4" t="str">
        <x:v>https://www.hanbitsoft.co.kr/game</x:v>
      </x:c>
    </x:row>
    <x:row r="232">
      <x:c r="A232" s="4" t="str">
        <x:v>SRC-231</x:v>
      </x:c>
      <x:c r="B232" s="4" t="str">
        <x:v>HanbitSoft</x:v>
      </x:c>
      <x:c r="C232" s="4" t="str">
        <x:v>S3</x:v>
      </x:c>
      <x:c r="D232" s="4" t="str">
        <x:v>https://www.mobygames.com/company/2845/hanbitsoft-inc/</x:v>
      </x:c>
    </x:row>
    <x:row r="233">
      <x:c r="A233" s="4" t="str">
        <x:v>SRC-232</x:v>
      </x:c>
      <x:c r="B233" s="4" t="str">
        <x:v>T3 Entertainment</x:v>
      </x:c>
      <x:c r="C233" s="4" t="str">
        <x:v>S1</x:v>
      </x:c>
      <x:c r="D233" s="4" t="str">
        <x:v>http://www.t3.co.kr/</x:v>
      </x:c>
    </x:row>
    <x:row r="234">
      <x:c r="A234" s="4" t="str">
        <x:v>SRC-233</x:v>
      </x:c>
      <x:c r="B234" s="4" t="str">
        <x:v>T3 Entertainment</x:v>
      </x:c>
      <x:c r="C234" s="4" t="str">
        <x:v>S2</x:v>
      </x:c>
      <x:c r="D234" s="4" t="str">
        <x:v>https://www.hanbitsoft.co.kr/</x:v>
      </x:c>
    </x:row>
    <x:row r="235">
      <x:c r="A235" s="4" t="str">
        <x:v>SRC-234</x:v>
      </x:c>
      <x:c r="B235" s="4" t="str">
        <x:v>T3 Entertainment</x:v>
      </x:c>
      <x:c r="C235" s="4" t="str">
        <x:v>S3</x:v>
      </x:c>
      <x:c r="D235" s="4" t="str">
        <x:v>https://www.mobygames.com/company/1387/t3-entertainment-co-ltd/</x:v>
      </x:c>
    </x:row>
    <x:row r="236">
      <x:c r="A236" s="4" t="str">
        <x:v>SRC-235</x:v>
      </x:c>
      <x:c r="B236" s="4" t="str">
        <x:v>Action Square</x:v>
      </x:c>
      <x:c r="C236" s="4" t="str">
        <x:v>S1</x:v>
      </x:c>
      <x:c r="D236" s="4" t="str">
        <x:v>https://www.action2quare.com/</x:v>
      </x:c>
    </x:row>
    <x:row r="237">
      <x:c r="A237" s="4" t="str">
        <x:v>SRC-236</x:v>
      </x:c>
      <x:c r="B237" s="4" t="str">
        <x:v>Action Square</x:v>
      </x:c>
      <x:c r="C237" s="4" t="str">
        <x:v>S2</x:v>
      </x:c>
      <x:c r="D237" s="4" t="str">
        <x:v>https://www.linkedin.com/company/action-square/</x:v>
      </x:c>
    </x:row>
    <x:row r="238">
      <x:c r="A238" s="4" t="str">
        <x:v>SRC-237</x:v>
      </x:c>
      <x:c r="B238" s="4" t="str">
        <x:v>Action Square</x:v>
      </x:c>
      <x:c r="C238" s="4" t="str">
        <x:v>S3</x:v>
      </x:c>
      <x:c r="D238" s="4" t="str">
        <x:v>https://store.steampowered.com/developer/actionsquare</x:v>
      </x:c>
    </x:row>
    <x:row r="239">
      <x:c r="A239" s="4" t="str">
        <x:v>SRC-238</x:v>
      </x:c>
      <x:c r="B239" s="4" t="str">
        <x:v>PangSky</x:v>
      </x:c>
      <x:c r="C239" s="4" t="str">
        <x:v>S1</x:v>
      </x:c>
      <x:c r="D239" s="4" t="str">
        <x:v>https://www.panggame.com/</x:v>
      </x:c>
    </x:row>
    <x:row r="240">
      <x:c r="A240" s="4" t="str">
        <x:v>SRC-239</x:v>
      </x:c>
      <x:c r="B240" s="4" t="str">
        <x:v>PangSky</x:v>
      </x:c>
      <x:c r="C240" s="4" t="str">
        <x:v>S2</x:v>
      </x:c>
      <x:c r="D240" s="4" t="str">
        <x:v>https://www.pangsky.co.kr/</x:v>
      </x:c>
    </x:row>
    <x:row r="241">
      <x:c r="A241" s="4" t="str">
        <x:v>SRC-240</x:v>
      </x:c>
      <x:c r="B241" s="4" t="str">
        <x:v>PangSky</x:v>
      </x:c>
      <x:c r="C241" s="4" t="str">
        <x:v>S3</x:v>
      </x:c>
      <x:c r="D241" s="4" t="str">
        <x:v>https://www.mobygames.com/company/58584/pangsky-co-ltd/</x:v>
      </x:c>
    </x:row>
  </x:sheetData>
  <x:pageMargins left="0.7" right="0.7" top="0.75" bottom="0.75" header="0.3" footer="0.3"/>
  <x:tableParts count="1">
    <x:tablePart xmlns:r="http://schemas.openxmlformats.org/officeDocument/2006/relationships" r:id="Rf1d4ff15ff764e34"/>
  </x:tableParts>
</x:worksheet>
</file>